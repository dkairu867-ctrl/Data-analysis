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ministrator\OneDrive\Documents\"/>
    </mc:Choice>
  </mc:AlternateContent>
  <xr:revisionPtr revIDLastSave="0" documentId="8_{14405892-839A-4137-9D76-A07BE18F23DA}" xr6:coauthVersionLast="47" xr6:coauthVersionMax="47" xr10:uidLastSave="{00000000-0000-0000-0000-000000000000}"/>
  <bookViews>
    <workbookView xWindow="-110" yWindow="-110" windowWidth="19420" windowHeight="10300" firstSheet="1" activeTab="1" xr2:uid="{7E8F1463-E1F2-40F5-9A74-0D61EDB89C72}"/>
  </bookViews>
  <sheets>
    <sheet name="V&amp;T DATA" sheetId="1" state="hidden" r:id="rId1"/>
    <sheet name="V&amp;T DASHBOARD" sheetId="2" r:id="rId2"/>
    <sheet name="Sales Vs Region Vs Category" sheetId="9" state="hidden" r:id="rId3"/>
    <sheet name="Sales Per Representative" sheetId="3" state="hidden" r:id="rId4"/>
    <sheet name="Sales Vs Tier Vs Region" sheetId="4" state="hidden" r:id="rId5"/>
    <sheet name="Orders Per Country" sheetId="5" state="hidden" r:id="rId6"/>
    <sheet name="Profit per Representative" sheetId="8" state="hidden" r:id="rId7"/>
  </sheets>
  <definedNames>
    <definedName name="_xlcn.WorksheetConnection_Book3Table11" hidden="1">Table1[]</definedName>
    <definedName name="Slicer_Order_Date1">#N/A</definedName>
  </definedNames>
  <calcPr calcId="191029"/>
  <pivotCaches>
    <pivotCache cacheId="0" r:id="rId8"/>
    <pivotCache cacheId="1" r:id="rId9"/>
    <pivotCache cacheId="2" r:id="rId10"/>
    <pivotCache cacheId="3" r:id="rId11"/>
    <pivotCache cacheId="4" r:id="rId12"/>
  </pivotCaches>
  <extLst>
    <ext xmlns:x14="http://schemas.microsoft.com/office/spreadsheetml/2009/9/main" uri="{876F7934-8845-4945-9796-88D515C7AA90}">
      <x14:pivotCaches>
        <pivotCache cacheId="5"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3!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5548A0-85B1-4370-9FB4-7BF08DAAD722}"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4114399-F37D-4733-A984-F3108A74BD69}" name="WorksheetConnection_Book3!Table1" type="102" refreshedVersion="7" minRefreshableVersion="5">
    <extLst>
      <ext xmlns:x15="http://schemas.microsoft.com/office/spreadsheetml/2010/11/main" uri="{DE250136-89BD-433C-8126-D09CA5730AF9}">
        <x15:connection id="Table1" autoDelete="1">
          <x15:rangePr sourceName="_xlcn.WorksheetConnection_Book3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Table1].[Region].[All]}"/>
    <s v="{[Table1].[Country].[All]}"/>
    <s v="{[Table1].[Customer Name].[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<sst xmlns="http://schemas.openxmlformats.org/spreadsheetml/2006/main" count="409" uniqueCount="138">
  <si>
    <t>Customer ID</t>
  </si>
  <si>
    <t>Customer Name</t>
  </si>
  <si>
    <t>Region</t>
  </si>
  <si>
    <t>Country</t>
  </si>
  <si>
    <t>Product Category</t>
  </si>
  <si>
    <t>Order Date</t>
  </si>
  <si>
    <t>Customer Since</t>
  </si>
  <si>
    <t>Sales Amount</t>
  </si>
  <si>
    <t>Order Quantity</t>
  </si>
  <si>
    <t>Profit Margin %</t>
  </si>
  <si>
    <t>Customer Tier</t>
  </si>
  <si>
    <t>Sales Rep</t>
  </si>
  <si>
    <t>CUST001</t>
  </si>
  <si>
    <t>Alpha Solutions</t>
  </si>
  <si>
    <t>North</t>
  </si>
  <si>
    <t>USA</t>
  </si>
  <si>
    <t>Electronics</t>
  </si>
  <si>
    <t>Gold</t>
  </si>
  <si>
    <t>James Wilson</t>
  </si>
  <si>
    <t>CUST002</t>
  </si>
  <si>
    <t>Beta Innovations</t>
  </si>
  <si>
    <t>South</t>
  </si>
  <si>
    <t>Office Supplies</t>
  </si>
  <si>
    <t>Silver</t>
  </si>
  <si>
    <t>Lisa Chen</t>
  </si>
  <si>
    <t>CUST003</t>
  </si>
  <si>
    <t>Gamma Tech</t>
  </si>
  <si>
    <t>West</t>
  </si>
  <si>
    <t>Furniture</t>
  </si>
  <si>
    <t>Mark Johnson</t>
  </si>
  <si>
    <t>CUST004</t>
  </si>
  <si>
    <t>Delta Dynamics</t>
  </si>
  <si>
    <t>East</t>
  </si>
  <si>
    <t>Canada</t>
  </si>
  <si>
    <t>Sarah Kim</t>
  </si>
  <si>
    <t>CUST005</t>
  </si>
  <si>
    <t>Echo Systems</t>
  </si>
  <si>
    <t>Bronze</t>
  </si>
  <si>
    <t>David Lopez</t>
  </si>
  <si>
    <t>CUST006</t>
  </si>
  <si>
    <t>Foxtrot Corp</t>
  </si>
  <si>
    <t>Emma Wright</t>
  </si>
  <si>
    <t>CUST007</t>
  </si>
  <si>
    <t>Golf Enterprises</t>
  </si>
  <si>
    <t>CUST008</t>
  </si>
  <si>
    <t>Hotel Group</t>
  </si>
  <si>
    <t>CUST009</t>
  </si>
  <si>
    <t>India Networks</t>
  </si>
  <si>
    <t>CUST010</t>
  </si>
  <si>
    <t>Juliett Media</t>
  </si>
  <si>
    <t>CUST011</t>
  </si>
  <si>
    <t>Kilo Logistics</t>
  </si>
  <si>
    <t>CUST012</t>
  </si>
  <si>
    <t>Lima Builders</t>
  </si>
  <si>
    <t>CUST013</t>
  </si>
  <si>
    <t>Mike Retail</t>
  </si>
  <si>
    <t>CUST014</t>
  </si>
  <si>
    <t>November Tech</t>
  </si>
  <si>
    <t>CUST015</t>
  </si>
  <si>
    <t>Oscar Solutions</t>
  </si>
  <si>
    <t>CUST016</t>
  </si>
  <si>
    <t>Papa Systems</t>
  </si>
  <si>
    <t>CUST017</t>
  </si>
  <si>
    <t>Quebec Innovate</t>
  </si>
  <si>
    <t>CUST018</t>
  </si>
  <si>
    <t>Romeo Designs</t>
  </si>
  <si>
    <t>CUST019</t>
  </si>
  <si>
    <t>Sierra Group</t>
  </si>
  <si>
    <t>CUST020</t>
  </si>
  <si>
    <t>Tango Ventures</t>
  </si>
  <si>
    <t>CUST021</t>
  </si>
  <si>
    <t>Uniform Data</t>
  </si>
  <si>
    <t>CUST022</t>
  </si>
  <si>
    <t>Victor Analytics</t>
  </si>
  <si>
    <t>CUST023</t>
  </si>
  <si>
    <t>Whiskey Labs</t>
  </si>
  <si>
    <t>CUST024</t>
  </si>
  <si>
    <t>Xray Solutions</t>
  </si>
  <si>
    <t>CUST025</t>
  </si>
  <si>
    <t>Yankee Systems</t>
  </si>
  <si>
    <t>CUST026</t>
  </si>
  <si>
    <t>Zulu Networks</t>
  </si>
  <si>
    <t>CUST027</t>
  </si>
  <si>
    <t>Apex Dynamics</t>
  </si>
  <si>
    <t>CUST028</t>
  </si>
  <si>
    <t>Bravo Tech</t>
  </si>
  <si>
    <t>CUST029</t>
  </si>
  <si>
    <t>Champion LLC</t>
  </si>
  <si>
    <t>CUST030</t>
  </si>
  <si>
    <t>Dynamo Inc</t>
  </si>
  <si>
    <t>CUST031</t>
  </si>
  <si>
    <t>Evergreen Co</t>
  </si>
  <si>
    <t>CUST032</t>
  </si>
  <si>
    <t>Fusion Labs</t>
  </si>
  <si>
    <t>CUST033</t>
  </si>
  <si>
    <t>Global Reach</t>
  </si>
  <si>
    <t>CUST034</t>
  </si>
  <si>
    <t>Horizon Group</t>
  </si>
  <si>
    <t>CUST035</t>
  </si>
  <si>
    <t>Ignite Solutions</t>
  </si>
  <si>
    <t>CUST036</t>
  </si>
  <si>
    <t>Junction Tech</t>
  </si>
  <si>
    <t>CUST037</t>
  </si>
  <si>
    <t>Kinetix Systems</t>
  </si>
  <si>
    <t>CUST038</t>
  </si>
  <si>
    <t>Lumina Corp</t>
  </si>
  <si>
    <t>CUST039</t>
  </si>
  <si>
    <t>Momentum LLC</t>
  </si>
  <si>
    <t>CUST040</t>
  </si>
  <si>
    <t>Nexus Innovations</t>
  </si>
  <si>
    <t>CUST041</t>
  </si>
  <si>
    <t>Orbit Enterprises</t>
  </si>
  <si>
    <t>CUST042</t>
  </si>
  <si>
    <t>Prime Dynamics</t>
  </si>
  <si>
    <t>CUST043</t>
  </si>
  <si>
    <t>Quantum Solutions</t>
  </si>
  <si>
    <t>CUST044</t>
  </si>
  <si>
    <t>Reliant Group</t>
  </si>
  <si>
    <t>CUST045</t>
  </si>
  <si>
    <t>Spectrum Tech</t>
  </si>
  <si>
    <t>CUST046</t>
  </si>
  <si>
    <t>Terra Systems</t>
  </si>
  <si>
    <t>CUST047</t>
  </si>
  <si>
    <t>Unity Networks</t>
  </si>
  <si>
    <t>CUST048</t>
  </si>
  <si>
    <t>Vantage Corp</t>
  </si>
  <si>
    <t>CUST049</t>
  </si>
  <si>
    <t>Wave Technologies</t>
  </si>
  <si>
    <t>2025-02-29</t>
  </si>
  <si>
    <t>CUST050</t>
  </si>
  <si>
    <t>Zenith Solutions</t>
  </si>
  <si>
    <t>Sum of Sales Amount</t>
  </si>
  <si>
    <t>Row Labels</t>
  </si>
  <si>
    <t>Grand Total</t>
  </si>
  <si>
    <t>All</t>
  </si>
  <si>
    <t>Sum of Order Quantity</t>
  </si>
  <si>
    <t>Sum of Profit Margin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</si>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</sst>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 x14ac:knownFonts="1">
    <font>
      <sz val="11"/>
      <color theme="1"/>
      <name val="Calibri"/>
      <family val="2"/>
      <scheme val="minor"/>
    </font>
    <font>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44" fontId="0" fillId="0" borderId="0" xfId="0" applyNumberFormat="1"/>
    <xf numFmtId="0" fontId="1" fillId="0" borderId="0" xfId="0" applyFont="1" applyAlignment="1">
      <alignment horizontal="center"/>
    </xf>
  </cellXfs>
  <cellStyles count="1">
    <cellStyle name="Normal" xfId="0" builtinId="0"/>
  </cellStyles>
  <dxfs count="4">
    <dxf>
      <numFmt numFmtId="34" formatCode="_(&quot;$&quot;* #,##0.00_);_(&quot;$&quot;* \(#,##0.00\);_(&quot;$&quot;* &quot;-&quot;??_);_(@_)"/>
    </dxf>
    <dxf>
      <numFmt numFmtId="34" formatCode="_(&quot;$&quot;* #,##0.00_);_(&quot;$&quot;* \(#,##0.00\);_(&quot;$&quot;* &quot;-&quot;??_);_(@_)"/>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3.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[Q&amp;T Groups Dashboard.xlsx]Sales Per Representative!PivotTable1</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 V&amp;T Groups Sales</a:t>
            </a:r>
          </a:p>
        </c:rich>
      </c:tx>
      <c:layout>
        <c:manualLayout>
          <c:xMode val="edge"/>
          <c:yMode val="edge"/>
          <c:x val="0.3737442180713958"/>
          <c:y val="3.6411148437811201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14385895370261"/>
          <c:y val="0.18618037742041174"/>
          <c:w val="0.83660310606335497"/>
          <c:h val="0.68640692995300168"/>
        </c:manualLayout>
      </c:layout>
      <c:lineChart>
        <c:grouping val="standard"/>
        <c:varyColors val="0"/>
        <c:ser>
          <c:idx val="0"/>
          <c:order val="0"/>
          <c:tx>
            <c:strRef>
              <c:f>'Sales Per Representative'!$B$1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'Sales Per Representative'!$A$2:$A$8</c:f>
              <c:strCache>
                <c:ptCount val="6"/>
                <c:pt idx="0">
                  <c:v>David Lopez</c:v>
                </c:pt>
                <c:pt idx="1">
                  <c:v>Emma Wright</c:v>
                </c:pt>
                <c:pt idx="2">
                  <c:v>James Wilson</c:v>
                </c:pt>
                <c:pt idx="3">
                  <c:v>Lisa Chen</c:v>
                </c:pt>
                <c:pt idx="4">
                  <c:v>Mark Johnson</c:v>
                </c:pt>
                <c:pt idx="5">
                  <c:v>Sarah Kim</c:v>
                </c:pt>
              </c:strCache>
            </c:strRef>
          </c:cat>
          <c:val>
            <c:numRef>
              <c:f>'Sales Per Representative'!$B$2:$B$8</c:f>
              <c:numCache>
                <c:formatCode>_("$"* #,##0.00_);_("$"* \(#,##0.00\);_("$"* "-"??_);_(@_)</c:formatCode>
                <c:ptCount val="6"/>
                <c:pt idx="0">
                  <c:v>150.25</c:v>
                </c:pt>
                <c:pt idx="1">
                  <c:v>6012</c:v>
                </c:pt>
                <c:pt idx="2">
                  <c:v>10936.5</c:v>
                </c:pt>
                <c:pt idx="3">
                  <c:v>10140.25</c:v>
                </c:pt>
                <c:pt idx="4">
                  <c:v>13220.75</c:v>
                </c:pt>
                <c:pt idx="5">
                  <c:v>9512</c:v>
                </c:pt>
              </c:numCache>
            </c:numRef>
          </c:val>
          <c:smooth val="0"/>
          <c:extLst>
            <c:ext xmlns:c16="http://schemas.microsoft.com/office/drawing/2014/chart" uri="{C3380CC4-5D6E-409C-BE32-E72D297353CC}">
              <c16:uniqueId val="{00000000-4FE1-4955-ACF5-E92821A718E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19615264"/>
        <c:axId val="319612768"/>
      </c:lineChart>
      <c:catAx>
        <c:axId val="31961526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19612768"/>
        <c:crosses val="autoZero"/>
        <c:auto val="1"/>
        <c:lblAlgn val="ctr"/>
        <c:lblOffset val="100"/>
        <c:noMultiLvlLbl val="0"/>
      </c:catAx>
      <c:valAx>
        <c:axId val="31961276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1961526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[Q&amp;T Groups Dashboard.xlsx]Sales Vs Tier Vs Region!PivotTable2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Sales Per Tier By Region</a:t>
            </a:r>
          </a:p>
        </c:rich>
      </c:tx>
      <c:layout>
        <c:manualLayout>
          <c:xMode val="edge"/>
          <c:yMode val="edge"/>
          <c:x val="0.12701198935498917"/>
          <c:y val="1.01867626628678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1"/>
          <c:showSerName val="0"/>
          <c:showPercent val="1"/>
          <c:showBubbleSize val="0"/>
          <c:extLst>
            <c:ext xmlns:c15="http://schemas.microsoft.com/office/drawing/2012/chart" uri="{CE6537A1-D6FC-4f65-9D91-7224C49458BB}"/>
          </c:extLst>
        </c:dLbl>
      </c:pivotFmt>
      <c:pivotFmt>
        <c:idx val="1"/>
        <c:dLbl>
          <c:idx val="0"/>
          <c:showLegendKey val="0"/>
          <c:showVal val="1"/>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199244465328542"/>
          <c:y val="0.18499722470875488"/>
          <c:w val="0.45325349956255462"/>
          <c:h val="0.75542249927092442"/>
        </c:manualLayout>
      </c:layout>
      <c:pie3DChart>
        <c:varyColors val="1"/>
        <c:ser>
          <c:idx val="0"/>
          <c:order val="0"/>
          <c:tx>
            <c:strRef>
              <c:f>'Sales Vs Tier Vs Region'!$B$3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026-48FC-AC0B-5E9591F7322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026-48FC-AC0B-5E9591F7322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026-48FC-AC0B-5E9591F732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'Sales Vs Tier Vs Region'!$A$4:$A$7</c:f>
              <c:strCache>
                <c:ptCount val="3"/>
                <c:pt idx="0">
                  <c:v>Bronze</c:v>
                </c:pt>
                <c:pt idx="1">
                  <c:v>Gold</c:v>
                </c:pt>
                <c:pt idx="2">
                  <c:v>Silver</c:v>
                </c:pt>
              </c:strCache>
            </c:strRef>
          </c:cat>
          <c:val>
            <c:numRef>
              <c:f>'Sales Vs Tier Vs Region'!$B$4:$B$7</c:f>
              <c:numCache>
                <c:formatCode>General</c:formatCode>
                <c:ptCount val="3"/>
                <c:pt idx="0">
                  <c:v>6497.75</c:v>
                </c:pt>
                <c:pt idx="1">
                  <c:v>28750</c:v>
                </c:pt>
                <c:pt idx="2">
                  <c:v>14724</c:v>
                </c:pt>
              </c:numCache>
            </c:numRef>
          </c:val>
          <c:extLst>
            <c:ext xmlns:c16="http://schemas.microsoft.com/office/drawing/2014/chart" uri="{C3380CC4-5D6E-409C-BE32-E72D297353CC}">
              <c16:uniqueId val="{00000006-C026-48FC-AC0B-5E9591F73221}"/>
            </c:ext>
          </c:extLst>
        </c:ser>
        <c:dLbls>
          <c:dLblPos val="bestFit"/>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[Q&amp;T Groups Dashboard.xlsx]Orders Per Country!PivotTable3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Orders Per Country With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34479902173484"/>
          <c:y val="0.28643324002643789"/>
          <c:w val="0.89019685039370078"/>
          <c:h val="0.53774387576552929"/>
        </c:manualLayout>
      </c:layout>
      <c:barChart>
        <c:barDir val="col"/>
        <c:grouping val="clustered"/>
        <c:varyColors val="0"/>
        <c:ser>
          <c:idx val="0"/>
          <c:order val="0"/>
          <c:tx>
            <c:strRef>
              <c:f>'Orders Per Country'!$B$3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Per Country'!$A$4:$A$7</c:f>
              <c:strCache>
                <c:ptCount val="3"/>
                <c:pt idx="0">
                  <c:v>Electronics</c:v>
                </c:pt>
                <c:pt idx="1">
                  <c:v>Furniture</c:v>
                </c:pt>
                <c:pt idx="2">
                  <c:v>Office Supplies</c:v>
                </c:pt>
              </c:strCache>
            </c:strRef>
          </c:cat>
          <c:val>
            <c:numRef>
              <c:f>'Orders Per Country'!$B$4:$B$7</c:f>
              <c:numCache>
                <c:formatCode>General</c:formatCode>
                <c:ptCount val="3"/>
                <c:pt idx="0">
                  <c:v>121</c:v>
                </c:pt>
                <c:pt idx="1">
                  <c:v>49</c:v>
                </c:pt>
                <c:pt idx="2">
                  <c:v>165</c:v>
                </c:pt>
              </c:numCache>
            </c:numRef>
          </c:val>
          <c:extLst>
            <c:ext xmlns:c16="http://schemas.microsoft.com/office/drawing/2014/chart" uri="{C3380CC4-5D6E-409C-BE32-E72D297353CC}">
              <c16:uniqueId val="{00000000-DE71-4F71-9743-011EBF2D0550}"/>
            </c:ext>
          </c:extLst>
        </c:ser>
        <c:dLbls>
          <c:dLblPos val="outEnd"/>
          <c:showLegendKey val="0"/>
          <c:showVal val="1"/>
          <c:showCatName val="0"/>
          <c:showSerName val="0"/>
          <c:showPercent val="0"/>
          <c:showBubbleSize val="0"/>
        </c:dLbls>
        <c:gapWidth val="219"/>
        <c:overlap val="-27"/>
        <c:axId val="383968000"/>
        <c:axId val="383969664"/>
      </c:barChart>
      <c:catAx>
        <c:axId val="38396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969664"/>
        <c:crosses val="autoZero"/>
        <c:auto val="1"/>
        <c:lblAlgn val="ctr"/>
        <c:lblOffset val="100"/>
        <c:noMultiLvlLbl val="0"/>
      </c:catAx>
      <c:valAx>
        <c:axId val="383969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96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[Q&amp;T Groups Dashboard.xlsx]Profit per Representative!PivotTable6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Margin per Representative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per Representative'!$B$1</c:f>
              <c:strCache>
                <c:ptCount val="1"/>
                <c:pt idx="0">
                  <c:v>Total</c:v>
                </c:pt>
              </c:strCache>
            </c:strRef>
          </c:tx>
          <c:spPr>
            <a:solidFill>
              <a:schemeClr val="accent1"/>
            </a:solidFill>
            <a:ln>
              <a:noFill/>
            </a:ln>
            <a:effectLst/>
          </c:spPr>
          <c:invertIfNegative val="0"/>
          <c:cat>
            <c:strRef>
              <c:f>'Profit per Representative'!$A$2:$A$8</c:f>
              <c:strCache>
                <c:ptCount val="6"/>
                <c:pt idx="0">
                  <c:v>David Lopez</c:v>
                </c:pt>
                <c:pt idx="1">
                  <c:v>Emma Wright</c:v>
                </c:pt>
                <c:pt idx="2">
                  <c:v>Sarah Kim</c:v>
                </c:pt>
                <c:pt idx="3">
                  <c:v>Lisa Chen</c:v>
                </c:pt>
                <c:pt idx="4">
                  <c:v>James Wilson</c:v>
                </c:pt>
                <c:pt idx="5">
                  <c:v>Mark Johnson</c:v>
                </c:pt>
              </c:strCache>
            </c:strRef>
          </c:cat>
          <c:val>
            <c:numRef>
              <c:f>'Profit per Representative'!$B$2:$B$8</c:f>
              <c:numCache>
                <c:formatCode>General</c:formatCode>
                <c:ptCount val="6"/>
                <c:pt idx="0">
                  <c:v>28</c:v>
                </c:pt>
                <c:pt idx="1">
                  <c:v>269.5</c:v>
                </c:pt>
                <c:pt idx="2">
                  <c:v>320.5</c:v>
                </c:pt>
                <c:pt idx="3">
                  <c:v>331</c:v>
                </c:pt>
                <c:pt idx="4">
                  <c:v>336.5</c:v>
                </c:pt>
                <c:pt idx="5">
                  <c:v>344.5</c:v>
                </c:pt>
              </c:numCache>
            </c:numRef>
          </c:val>
          <c:extLst>
            <c:ext xmlns:c16="http://schemas.microsoft.com/office/drawing/2014/chart" uri="{C3380CC4-5D6E-409C-BE32-E72D297353CC}">
              <c16:uniqueId val="{00000000-E553-4D6F-B312-C5C96F7259B7}"/>
            </c:ext>
          </c:extLst>
        </c:ser>
        <c:dLbls>
          <c:showLegendKey val="0"/>
          <c:showVal val="0"/>
          <c:showCatName val="0"/>
          <c:showSerName val="0"/>
          <c:showPercent val="0"/>
          <c:showBubbleSize val="0"/>
        </c:dLbls>
        <c:gapWidth val="182"/>
        <c:axId val="266045312"/>
        <c:axId val="266052800"/>
      </c:barChart>
      <c:catAx>
        <c:axId val="26604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052800"/>
        <c:crosses val="autoZero"/>
        <c:auto val="1"/>
        <c:lblAlgn val="ctr"/>
        <c:lblOffset val="100"/>
        <c:noMultiLvlLbl val="0"/>
      </c:catAx>
      <c:valAx>
        <c:axId val="266052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04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[Q&amp;T Groups Dashboard.xlsx]Sales Vs Region Vs Category!PivotTable7</c:name>
    <c:fmtId val="2"/>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Per Country Vs Product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9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Vs Region Vs Category'!$B$4:$B$5</c:f>
              <c:strCache>
                <c:ptCount val="1"/>
                <c:pt idx="0">
                  <c:v>Electronics</c:v>
                </c:pt>
              </c:strCache>
            </c:strRef>
          </c:tx>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Vs Region Vs Category'!$A$6:$A$8</c:f>
              <c:strCache>
                <c:ptCount val="2"/>
                <c:pt idx="0">
                  <c:v>Canada</c:v>
                </c:pt>
                <c:pt idx="1">
                  <c:v>USA</c:v>
                </c:pt>
              </c:strCache>
            </c:strRef>
          </c:cat>
          <c:val>
            <c:numRef>
              <c:f>'Sales Vs Region Vs Category'!$B$6:$B$8</c:f>
              <c:numCache>
                <c:formatCode>General</c:formatCode>
                <c:ptCount val="2"/>
                <c:pt idx="0">
                  <c:v>8040</c:v>
                </c:pt>
                <c:pt idx="1">
                  <c:v>24840</c:v>
                </c:pt>
              </c:numCache>
            </c:numRef>
          </c:val>
          <c:extLst>
            <c:ext xmlns:c16="http://schemas.microsoft.com/office/drawing/2014/chart" uri="{C3380CC4-5D6E-409C-BE32-E72D297353CC}">
              <c16:uniqueId val="{00000000-45A1-4195-A7A5-85FEBBADC1E3}"/>
            </c:ext>
          </c:extLst>
        </c:ser>
        <c:ser>
          <c:idx val="1"/>
          <c:order val="1"/>
          <c:tx>
            <c:strRef>
              <c:f>'Sales Vs Region Vs Category'!$C$4:$C$5</c:f>
              <c:strCache>
                <c:ptCount val="1"/>
                <c:pt idx="0">
                  <c:v>Furniture</c:v>
                </c:pt>
              </c:strCache>
            </c:strRef>
          </c:tx>
          <c:spPr>
            <a:solidFill>
              <a:schemeClr val="tx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Vs Region Vs Category'!$A$6:$A$8</c:f>
              <c:strCache>
                <c:ptCount val="2"/>
                <c:pt idx="0">
                  <c:v>Canada</c:v>
                </c:pt>
                <c:pt idx="1">
                  <c:v>USA</c:v>
                </c:pt>
              </c:strCache>
            </c:strRef>
          </c:cat>
          <c:val>
            <c:numRef>
              <c:f>'Sales Vs Region Vs Category'!$C$6:$C$8</c:f>
              <c:numCache>
                <c:formatCode>General</c:formatCode>
                <c:ptCount val="2"/>
                <c:pt idx="0">
                  <c:v>3591</c:v>
                </c:pt>
                <c:pt idx="1">
                  <c:v>9798</c:v>
                </c:pt>
              </c:numCache>
            </c:numRef>
          </c:val>
          <c:extLst>
            <c:ext xmlns:c16="http://schemas.microsoft.com/office/drawing/2014/chart" uri="{C3380CC4-5D6E-409C-BE32-E72D297353CC}">
              <c16:uniqueId val="{00000008-45A1-4195-A7A5-85FEBBADC1E3}"/>
            </c:ext>
          </c:extLst>
        </c:ser>
        <c:ser>
          <c:idx val="2"/>
          <c:order val="2"/>
          <c:tx>
            <c:strRef>
              <c:f>'Sales Vs Region Vs Category'!$D$4:$D$5</c:f>
              <c:strCache>
                <c:ptCount val="1"/>
                <c:pt idx="0">
                  <c:v>Office Supplies</c:v>
                </c:pt>
              </c:strCache>
            </c:strRef>
          </c:tx>
          <c:spPr>
            <a:solidFill>
              <a:schemeClr val="bg2">
                <a:lumMod val="9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Vs Region Vs Category'!$A$6:$A$8</c:f>
              <c:strCache>
                <c:ptCount val="2"/>
                <c:pt idx="0">
                  <c:v>Canada</c:v>
                </c:pt>
                <c:pt idx="1">
                  <c:v>USA</c:v>
                </c:pt>
              </c:strCache>
            </c:strRef>
          </c:cat>
          <c:val>
            <c:numRef>
              <c:f>'Sales Vs Region Vs Category'!$D$6:$D$8</c:f>
              <c:numCache>
                <c:formatCode>General</c:formatCode>
                <c:ptCount val="2"/>
                <c:pt idx="0">
                  <c:v>1086.25</c:v>
                </c:pt>
                <c:pt idx="1">
                  <c:v>2616.5</c:v>
                </c:pt>
              </c:numCache>
            </c:numRef>
          </c:val>
          <c:extLst>
            <c:ext xmlns:c16="http://schemas.microsoft.com/office/drawing/2014/chart" uri="{C3380CC4-5D6E-409C-BE32-E72D297353CC}">
              <c16:uniqueId val="{00000009-45A1-4195-A7A5-85FEBBADC1E3}"/>
            </c:ext>
          </c:extLst>
        </c:ser>
        <c:dLbls>
          <c:dLblPos val="outEnd"/>
          <c:showLegendKey val="0"/>
          <c:showVal val="1"/>
          <c:showCatName val="0"/>
          <c:showSerName val="0"/>
          <c:showPercent val="0"/>
          <c:showBubbleSize val="0"/>
        </c:dLbls>
        <c:gapWidth val="150"/>
        <c:axId val="1650893871"/>
        <c:axId val="1650895951"/>
      </c:barChart>
      <c:catAx>
        <c:axId val="16508938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50895951"/>
        <c:crosses val="autoZero"/>
        <c:auto val="1"/>
        <c:lblAlgn val="ctr"/>
        <c:lblOffset val="100"/>
        <c:noMultiLvlLbl val="0"/>
      </c:catAx>
      <c:valAx>
        <c:axId val="16508959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50893871"/>
        <c:crosses val="autoZero"/>
        <c:crossBetween val="between"/>
      </c:valAx>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tileRect/>
    </a:gra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[Q&amp;T Groups Dashboard.xlsx]Sales Vs Region Vs Category!PivotTable7</c:name>
    <c:fmtId val="0"/>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Per Region Vs Product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Vs Region Vs Category'!$B$4:$B$5</c:f>
              <c:strCache>
                <c:ptCount val="1"/>
                <c:pt idx="0">
                  <c:v>Electronics</c:v>
                </c:pt>
              </c:strCache>
            </c:strRef>
          </c:tx>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7150" dist="19050" dir="5400000" algn="ctr" rotWithShape="0">
                <a:srgbClr val="000000">
                  <a:alpha val="63000"/>
                </a:srgbClr>
              </a:outerShdw>
            </a:effectLst>
          </c:spPr>
          <c:invertIfNegative val="0"/>
          <c:cat>
            <c:strRef>
              <c:f>'Sales Vs Region Vs Category'!$A$6:$A$8</c:f>
              <c:strCache>
                <c:ptCount val="2"/>
                <c:pt idx="0">
                  <c:v>Canada</c:v>
                </c:pt>
                <c:pt idx="1">
                  <c:v>USA</c:v>
                </c:pt>
              </c:strCache>
            </c:strRef>
          </c:cat>
          <c:val>
            <c:numRef>
              <c:f>'Sales Vs Region Vs Category'!$B$6:$B$8</c:f>
              <c:numCache>
                <c:formatCode>General</c:formatCode>
                <c:ptCount val="2"/>
                <c:pt idx="0">
                  <c:v>8040</c:v>
                </c:pt>
                <c:pt idx="1">
                  <c:v>24840</c:v>
                </c:pt>
              </c:numCache>
            </c:numRef>
          </c:val>
          <c:extLst>
            <c:ext xmlns:c16="http://schemas.microsoft.com/office/drawing/2014/chart" uri="{C3380CC4-5D6E-409C-BE32-E72D297353CC}">
              <c16:uniqueId val="{00000000-63A2-4242-95FE-ED53E4CA8FF7}"/>
            </c:ext>
          </c:extLst>
        </c:ser>
        <c:ser>
          <c:idx val="1"/>
          <c:order val="1"/>
          <c:tx>
            <c:strRef>
              <c:f>'Sales Vs Region Vs Category'!$C$4:$C$5</c:f>
              <c:strCache>
                <c:ptCount val="1"/>
                <c:pt idx="0">
                  <c:v>Furniture</c:v>
                </c:pt>
              </c:strCache>
            </c:strRef>
          </c:tx>
          <c:spPr>
            <a:solidFill>
              <a:schemeClr val="tx2"/>
            </a:solidFill>
            <a:ln>
              <a:noFill/>
            </a:ln>
            <a:effectLst>
              <a:outerShdw blurRad="57150" dist="19050" dir="5400000" algn="ctr" rotWithShape="0">
                <a:srgbClr val="000000">
                  <a:alpha val="63000"/>
                </a:srgbClr>
              </a:outerShdw>
            </a:effectLst>
          </c:spPr>
          <c:invertIfNegative val="0"/>
          <c:cat>
            <c:strRef>
              <c:f>'Sales Vs Region Vs Category'!$A$6:$A$8</c:f>
              <c:strCache>
                <c:ptCount val="2"/>
                <c:pt idx="0">
                  <c:v>Canada</c:v>
                </c:pt>
                <c:pt idx="1">
                  <c:v>USA</c:v>
                </c:pt>
              </c:strCache>
            </c:strRef>
          </c:cat>
          <c:val>
            <c:numRef>
              <c:f>'Sales Vs Region Vs Category'!$C$6:$C$8</c:f>
              <c:numCache>
                <c:formatCode>General</c:formatCode>
                <c:ptCount val="2"/>
                <c:pt idx="0">
                  <c:v>3591</c:v>
                </c:pt>
                <c:pt idx="1">
                  <c:v>9798</c:v>
                </c:pt>
              </c:numCache>
            </c:numRef>
          </c:val>
          <c:extLst>
            <c:ext xmlns:c16="http://schemas.microsoft.com/office/drawing/2014/chart" uri="{C3380CC4-5D6E-409C-BE32-E72D297353CC}">
              <c16:uniqueId val="{0000000C-1B2B-48FB-8C8D-1C6407C19E13}"/>
            </c:ext>
          </c:extLst>
        </c:ser>
        <c:ser>
          <c:idx val="2"/>
          <c:order val="2"/>
          <c:tx>
            <c:strRef>
              <c:f>'Sales Vs Region Vs Category'!$D$4:$D$5</c:f>
              <c:strCache>
                <c:ptCount val="1"/>
                <c:pt idx="0">
                  <c:v>Office Supplies</c:v>
                </c:pt>
              </c:strCache>
            </c:strRef>
          </c:tx>
          <c:spPr>
            <a:solidFill>
              <a:schemeClr val="bg2">
                <a:lumMod val="90000"/>
              </a:schemeClr>
            </a:solidFill>
            <a:ln>
              <a:noFill/>
            </a:ln>
            <a:effectLst>
              <a:outerShdw blurRad="57150" dist="19050" dir="5400000" algn="ctr" rotWithShape="0">
                <a:srgbClr val="000000">
                  <a:alpha val="63000"/>
                </a:srgbClr>
              </a:outerShdw>
            </a:effectLst>
          </c:spPr>
          <c:invertIfNegative val="0"/>
          <c:cat>
            <c:strRef>
              <c:f>'Sales Vs Region Vs Category'!$A$6:$A$8</c:f>
              <c:strCache>
                <c:ptCount val="2"/>
                <c:pt idx="0">
                  <c:v>Canada</c:v>
                </c:pt>
                <c:pt idx="1">
                  <c:v>USA</c:v>
                </c:pt>
              </c:strCache>
            </c:strRef>
          </c:cat>
          <c:val>
            <c:numRef>
              <c:f>'Sales Vs Region Vs Category'!$D$6:$D$8</c:f>
              <c:numCache>
                <c:formatCode>General</c:formatCode>
                <c:ptCount val="2"/>
                <c:pt idx="0">
                  <c:v>1086.25</c:v>
                </c:pt>
                <c:pt idx="1">
                  <c:v>2616.5</c:v>
                </c:pt>
              </c:numCache>
            </c:numRef>
          </c:val>
          <c:extLst>
            <c:ext xmlns:c16="http://schemas.microsoft.com/office/drawing/2014/chart" uri="{C3380CC4-5D6E-409C-BE32-E72D297353CC}">
              <c16:uniqueId val="{0000000D-1B2B-48FB-8C8D-1C6407C19E13}"/>
            </c:ext>
          </c:extLst>
        </c:ser>
        <c:dLbls>
          <c:showLegendKey val="0"/>
          <c:showVal val="0"/>
          <c:showCatName val="0"/>
          <c:showSerName val="0"/>
          <c:showPercent val="0"/>
          <c:showBubbleSize val="0"/>
        </c:dLbls>
        <c:gapWidth val="150"/>
        <c:axId val="1650893871"/>
        <c:axId val="1650895951"/>
      </c:barChart>
      <c:catAx>
        <c:axId val="16508938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50895951"/>
        <c:crosses val="autoZero"/>
        <c:auto val="1"/>
        <c:lblAlgn val="ctr"/>
        <c:lblOffset val="100"/>
        <c:noMultiLvlLbl val="0"/>
      </c:catAx>
      <c:valAx>
        <c:axId val="16508959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50893871"/>
        <c:crosses val="autoZero"/>
        <c:crossBetween val="between"/>
      </c:valAx>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tileRect/>
    </a:gra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[Q&amp;T Groups Dashboard.xlsx]Sales Per Representative!PivotTable1</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 V&amp;T Groups Sales</a:t>
            </a:r>
          </a:p>
        </c:rich>
      </c:tx>
      <c:layout>
        <c:manualLayout>
          <c:xMode val="edge"/>
          <c:yMode val="edge"/>
          <c:x val="0.37374414891686925"/>
          <c:y val="3.6410923276983094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65956674770491"/>
          <c:y val="0.19292587776332903"/>
          <c:w val="0.83660310606335497"/>
          <c:h val="0.68640692995300168"/>
        </c:manualLayout>
      </c:layout>
      <c:lineChart>
        <c:grouping val="standard"/>
        <c:varyColors val="0"/>
        <c:ser>
          <c:idx val="0"/>
          <c:order val="0"/>
          <c:tx>
            <c:strRef>
              <c:f>'Sales Per Representative'!$B$1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'Sales Per Representative'!$A$2:$A$8</c:f>
              <c:strCache>
                <c:ptCount val="6"/>
                <c:pt idx="0">
                  <c:v>David Lopez</c:v>
                </c:pt>
                <c:pt idx="1">
                  <c:v>Emma Wright</c:v>
                </c:pt>
                <c:pt idx="2">
                  <c:v>James Wilson</c:v>
                </c:pt>
                <c:pt idx="3">
                  <c:v>Lisa Chen</c:v>
                </c:pt>
                <c:pt idx="4">
                  <c:v>Mark Johnson</c:v>
                </c:pt>
                <c:pt idx="5">
                  <c:v>Sarah Kim</c:v>
                </c:pt>
              </c:strCache>
            </c:strRef>
          </c:cat>
          <c:val>
            <c:numRef>
              <c:f>'Sales Per Representative'!$B$2:$B$8</c:f>
              <c:numCache>
                <c:formatCode>_("$"* #,##0.00_);_("$"* \(#,##0.00\);_("$"* "-"??_);_(@_)</c:formatCode>
                <c:ptCount val="6"/>
                <c:pt idx="0">
                  <c:v>150.25</c:v>
                </c:pt>
                <c:pt idx="1">
                  <c:v>6012</c:v>
                </c:pt>
                <c:pt idx="2">
                  <c:v>10936.5</c:v>
                </c:pt>
                <c:pt idx="3">
                  <c:v>10140.25</c:v>
                </c:pt>
                <c:pt idx="4">
                  <c:v>13220.75</c:v>
                </c:pt>
                <c:pt idx="5">
                  <c:v>9512</c:v>
                </c:pt>
              </c:numCache>
            </c:numRef>
          </c:val>
          <c:smooth val="0"/>
          <c:extLst>
            <c:ext xmlns:c16="http://schemas.microsoft.com/office/drawing/2014/chart" uri="{C3380CC4-5D6E-409C-BE32-E72D297353CC}">
              <c16:uniqueId val="{00000000-D2AD-4A98-9E93-D332CBE788C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19615264"/>
        <c:axId val="319612768"/>
      </c:lineChart>
      <c:catAx>
        <c:axId val="31961526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19612768"/>
        <c:crosses val="autoZero"/>
        <c:auto val="1"/>
        <c:lblAlgn val="ctr"/>
        <c:lblOffset val="100"/>
        <c:noMultiLvlLbl val="0"/>
      </c:catAx>
      <c:valAx>
        <c:axId val="31961276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1961526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[Q&amp;T Groups Dashboard.xlsx]Sales Vs Tier Vs Region!PivotTable2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Sum Of Sales Per Tier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610717410323702"/>
          <c:y val="0.18499708369787107"/>
          <c:w val="0.45325349956255462"/>
          <c:h val="0.75542249927092442"/>
        </c:manualLayout>
      </c:layout>
      <c:pie3DChart>
        <c:varyColors val="1"/>
        <c:ser>
          <c:idx val="0"/>
          <c:order val="0"/>
          <c:tx>
            <c:strRef>
              <c:f>'Sales Vs Tier Vs Region'!$B$3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8F08-4467-AC00-6A175E11221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8F08-4467-AC00-6A175E11221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8F08-4467-AC00-6A175E1122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'Sales Vs Tier Vs Region'!$A$4:$A$7</c:f>
              <c:strCache>
                <c:ptCount val="3"/>
                <c:pt idx="0">
                  <c:v>Bronze</c:v>
                </c:pt>
                <c:pt idx="1">
                  <c:v>Gold</c:v>
                </c:pt>
                <c:pt idx="2">
                  <c:v>Silver</c:v>
                </c:pt>
              </c:strCache>
            </c:strRef>
          </c:cat>
          <c:val>
            <c:numRef>
              <c:f>'Sales Vs Tier Vs Region'!$B$4:$B$7</c:f>
              <c:numCache>
                <c:formatCode>General</c:formatCode>
                <c:ptCount val="3"/>
                <c:pt idx="0">
                  <c:v>6497.75</c:v>
                </c:pt>
                <c:pt idx="1">
                  <c:v>28750</c:v>
                </c:pt>
                <c:pt idx="2">
                  <c:v>14724</c:v>
                </c:pt>
              </c:numCache>
            </c:numRef>
          </c:val>
          <c:extLst>
            <c:ext xmlns:c16="http://schemas.microsoft.com/office/drawing/2014/chart" uri="{C3380CC4-5D6E-409C-BE32-E72D297353CC}">
              <c16:uniqueId val="{00000000-939F-4A01-BA7F-12B7D1686AA1}"/>
            </c:ext>
          </c:extLst>
        </c:ser>
        <c:dLbls>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[Q&amp;T Groups Dashboard.xlsx]Orders Per Country!PivotTable3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Orders Per Country With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02537182852145"/>
          <c:y val="0.28643299795858851"/>
          <c:w val="0.89019685039370078"/>
          <c:h val="0.53774387576552929"/>
        </c:manualLayout>
      </c:layout>
      <c:barChart>
        <c:barDir val="col"/>
        <c:grouping val="clustered"/>
        <c:varyColors val="0"/>
        <c:ser>
          <c:idx val="0"/>
          <c:order val="0"/>
          <c:tx>
            <c:strRef>
              <c:f>'Orders Per Country'!$B$3</c:f>
              <c:strCache>
                <c:ptCount val="1"/>
                <c:pt idx="0">
                  <c:v>Total</c:v>
                </c:pt>
              </c:strCache>
            </c:strRef>
          </c:tx>
          <c:spPr>
            <a:solidFill>
              <a:schemeClr val="accent1"/>
            </a:solidFill>
            <a:ln>
              <a:noFill/>
            </a:ln>
            <a:effectLst/>
          </c:spPr>
          <c:invertIfNegative val="0"/>
          <c:cat>
            <c:strRef>
              <c:f>'Orders Per Country'!$A$4:$A$7</c:f>
              <c:strCache>
                <c:ptCount val="3"/>
                <c:pt idx="0">
                  <c:v>Electronics</c:v>
                </c:pt>
                <c:pt idx="1">
                  <c:v>Furniture</c:v>
                </c:pt>
                <c:pt idx="2">
                  <c:v>Office Supplies</c:v>
                </c:pt>
              </c:strCache>
            </c:strRef>
          </c:cat>
          <c:val>
            <c:numRef>
              <c:f>'Orders Per Country'!$B$4:$B$7</c:f>
              <c:numCache>
                <c:formatCode>General</c:formatCode>
                <c:ptCount val="3"/>
                <c:pt idx="0">
                  <c:v>121</c:v>
                </c:pt>
                <c:pt idx="1">
                  <c:v>49</c:v>
                </c:pt>
                <c:pt idx="2">
                  <c:v>165</c:v>
                </c:pt>
              </c:numCache>
            </c:numRef>
          </c:val>
          <c:extLst>
            <c:ext xmlns:c16="http://schemas.microsoft.com/office/drawing/2014/chart" uri="{C3380CC4-5D6E-409C-BE32-E72D297353CC}">
              <c16:uniqueId val="{00000000-E2D3-42AC-B99D-D0963CF7C968}"/>
            </c:ext>
          </c:extLst>
        </c:ser>
        <c:dLbls>
          <c:showLegendKey val="0"/>
          <c:showVal val="0"/>
          <c:showCatName val="0"/>
          <c:showSerName val="0"/>
          <c:showPercent val="0"/>
          <c:showBubbleSize val="0"/>
        </c:dLbls>
        <c:gapWidth val="219"/>
        <c:overlap val="-27"/>
        <c:axId val="383968000"/>
        <c:axId val="383969664"/>
      </c:barChart>
      <c:catAx>
        <c:axId val="38396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969664"/>
        <c:crosses val="autoZero"/>
        <c:auto val="1"/>
        <c:lblAlgn val="ctr"/>
        <c:lblOffset val="100"/>
        <c:noMultiLvlLbl val="0"/>
      </c:catAx>
      <c:valAx>
        <c:axId val="383969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96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[Q&amp;T Groups Dashboard.xlsx]Profit per Representative!PivotTable6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Margin per Representative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per Representative'!$B$1</c:f>
              <c:strCache>
                <c:ptCount val="1"/>
                <c:pt idx="0">
                  <c:v>Total</c:v>
                </c:pt>
              </c:strCache>
            </c:strRef>
          </c:tx>
          <c:spPr>
            <a:solidFill>
              <a:schemeClr val="accent1"/>
            </a:solidFill>
            <a:ln>
              <a:noFill/>
            </a:ln>
            <a:effectLst/>
          </c:spPr>
          <c:invertIfNegative val="0"/>
          <c:cat>
            <c:strRef>
              <c:f>'Profit per Representative'!$A$2:$A$8</c:f>
              <c:strCache>
                <c:ptCount val="6"/>
                <c:pt idx="0">
                  <c:v>David Lopez</c:v>
                </c:pt>
                <c:pt idx="1">
                  <c:v>Emma Wright</c:v>
                </c:pt>
                <c:pt idx="2">
                  <c:v>Sarah Kim</c:v>
                </c:pt>
                <c:pt idx="3">
                  <c:v>Lisa Chen</c:v>
                </c:pt>
                <c:pt idx="4">
                  <c:v>James Wilson</c:v>
                </c:pt>
                <c:pt idx="5">
                  <c:v>Mark Johnson</c:v>
                </c:pt>
              </c:strCache>
            </c:strRef>
          </c:cat>
          <c:val>
            <c:numRef>
              <c:f>'Profit per Representative'!$B$2:$B$8</c:f>
              <c:numCache>
                <c:formatCode>General</c:formatCode>
                <c:ptCount val="6"/>
                <c:pt idx="0">
                  <c:v>28</c:v>
                </c:pt>
                <c:pt idx="1">
                  <c:v>269.5</c:v>
                </c:pt>
                <c:pt idx="2">
                  <c:v>320.5</c:v>
                </c:pt>
                <c:pt idx="3">
                  <c:v>331</c:v>
                </c:pt>
                <c:pt idx="4">
                  <c:v>336.5</c:v>
                </c:pt>
                <c:pt idx="5">
                  <c:v>344.5</c:v>
                </c:pt>
              </c:numCache>
            </c:numRef>
          </c:val>
          <c:extLst>
            <c:ext xmlns:c16="http://schemas.microsoft.com/office/drawing/2014/chart" uri="{C3380CC4-5D6E-409C-BE32-E72D297353CC}">
              <c16:uniqueId val="{00000000-E535-4A36-BCD7-79E6578A6323}"/>
            </c:ext>
          </c:extLst>
        </c:ser>
        <c:dLbls>
          <c:showLegendKey val="0"/>
          <c:showVal val="0"/>
          <c:showCatName val="0"/>
          <c:showSerName val="0"/>
          <c:showPercent val="0"/>
          <c:showBubbleSize val="0"/>
        </c:dLbls>
        <c:gapWidth val="182"/>
        <c:axId val="266045312"/>
        <c:axId val="266052800"/>
      </c:barChart>
      <c:catAx>
        <c:axId val="26604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052800"/>
        <c:crosses val="autoZero"/>
        <c:auto val="1"/>
        <c:lblAlgn val="ctr"/>
        <c:lblOffset val="100"/>
        <c:noMultiLvlLbl val="0"/>
      </c:catAx>
      <c:valAx>
        <c:axId val="266052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04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10584</xdr:rowOff>
    </xdr:from>
    <xdr:to>
      <xdr:col>17</xdr:col>
      <xdr:colOff>25399</xdr:colOff>
      <xdr:row>14</xdr:row>
      <xdr:rowOff>51859</xdr:rowOff>
    </xdr:to>
    <xdr:graphicFrame macro="">
      <xdr:nvGraphicFramePr>
        <xdr:cNvPr id="2" name="Chart 1">
          <a:extLst>
            <a:ext uri="{FF2B5EF4-FFF2-40B4-BE49-F238E27FC236}">
              <a16:creationId xmlns:a16="http://schemas.microsoft.com/office/drawing/2014/main" id="{0A2C5483-AB9E-4E44-A716-E02DC06AD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603250</xdr:colOff>
      <xdr:row>19</xdr:row>
      <xdr:rowOff>2116</xdr:rowOff>
    </xdr:from>
    <xdr:to>
      <xdr:col>25</xdr:col>
      <xdr:colOff>576384</xdr:colOff>
      <xdr:row>35</xdr:row>
      <xdr:rowOff>19537</xdr:rowOff>
    </xdr:to>
    <xdr:graphicFrame macro="">
      <xdr:nvGraphicFramePr>
        <xdr:cNvPr id="3" name="Chart 2">
          <a:extLst>
            <a:ext uri="{FF2B5EF4-FFF2-40B4-BE49-F238E27FC236}">
              <a16:creationId xmlns:a16="http://schemas.microsoft.com/office/drawing/2014/main" id="{7A6AA8D6-4715-4F41-B8B2-AFB2E71CB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12699</xdr:colOff>
      <xdr:row>15</xdr:row>
      <xdr:rowOff>171448</xdr:rowOff>
    </xdr:from>
    <xdr:to>
      <xdr:col>8</xdr:col>
      <xdr:colOff>341924</xdr:colOff>
      <xdr:row>35</xdr:row>
      <xdr:rowOff>0</xdr:rowOff>
    </xdr:to>
    <xdr:graphicFrame macro="">
      <xdr:nvGraphicFramePr>
        <xdr:cNvPr id="4" name="Chart 3">
          <a:extLst>
            <a:ext uri="{FF2B5EF4-FFF2-40B4-BE49-F238E27FC236}">
              <a16:creationId xmlns:a16="http://schemas.microsoft.com/office/drawing/2014/main" id="{DD5894BF-B415-4EBE-B343-EF5D41A3A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389468</xdr:colOff>
      <xdr:row>16</xdr:row>
      <xdr:rowOff>12699</xdr:rowOff>
    </xdr:from>
    <xdr:to>
      <xdr:col>17</xdr:col>
      <xdr:colOff>391583</xdr:colOff>
      <xdr:row>26</xdr:row>
      <xdr:rowOff>28575</xdr:rowOff>
    </xdr:to>
    <xdr:graphicFrame macro="">
      <xdr:nvGraphicFramePr>
        <xdr:cNvPr id="5" name="Chart 4">
          <a:extLst>
            <a:ext uri="{FF2B5EF4-FFF2-40B4-BE49-F238E27FC236}">
              <a16:creationId xmlns:a16="http://schemas.microsoft.com/office/drawing/2014/main" id="{046AA8E9-35F7-4C41-A801-E76505214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5046</xdr:colOff>
      <xdr:row>4</xdr:row>
      <xdr:rowOff>815</xdr:rowOff>
    </xdr:from>
    <xdr:to>
      <xdr:col>26</xdr:col>
      <xdr:colOff>815</xdr:colOff>
      <xdr:row>18</xdr:row>
      <xdr:rowOff>133513</xdr:rowOff>
    </xdr:to>
    <xdr:graphicFrame macro="">
      <xdr:nvGraphicFramePr>
        <xdr:cNvPr id="6" name="Chart 5">
          <a:extLst>
            <a:ext uri="{FF2B5EF4-FFF2-40B4-BE49-F238E27FC236}">
              <a16:creationId xmlns:a16="http://schemas.microsoft.com/office/drawing/2014/main" id="{B82D5AAC-50EF-408F-8BF6-B857ED062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119288</xdr:colOff>
      <xdr:row>26</xdr:row>
      <xdr:rowOff>147410</xdr:rowOff>
    </xdr:from>
    <xdr:to>
      <xdr:col>16</xdr:col>
      <xdr:colOff>204107</xdr:colOff>
      <xdr:row>37</xdr:row>
      <xdr:rowOff>36285</xdr:rowOff>
    </xdr:to>
    <mc:AlternateContent xmlns:mc="http://schemas.openxmlformats.org/markup-compatibility/2006" xmlns:a14="http://schemas.microsoft.com/office/drawing/2010/main">
      <mc:Choice Requires="a14">
        <xdr:graphicFrame macro="">
          <xdr:nvGraphicFramePr>
            <xdr:cNvPr id="10" name="Order Date 3">
              <a:extLst>
                <a:ext uri="{FF2B5EF4-FFF2-40B4-BE49-F238E27FC236}">
                  <a16:creationId xmlns:a16="http://schemas.microsoft.com/office/drawing/2014/main" id="{2B915294-170A-4678-80A7-BDD000B48998}"/>
                </a:ext>
              </a:extLst>
            </xdr:cNvPr>
            <xdr:cNvGraphicFramePr/>
          </xdr:nvGraphicFramePr>
          <xdr:xfrm>
            <a:off x="0" y="0"/>
            <a:ext cx="0" cy="0"/>
          </xdr:xfrm>
          <a:graphic>
            <a:graphicData uri="http://schemas.microsoft.com/office/drawing/2010/slicer">
              <sle:slicer xmlns:sle="http://schemas.microsoft.com/office/drawing/2010/slicer" name="Order Date 3"/>
            </a:graphicData>
          </a:graphic>
        </xdr:graphicFrame>
      </mc:Choice>
      <mc:Fallback xmlns="">
        <xdr:sp macro="" textlink="">
          <xdr:nvSpPr>
            <xdr:cNvPr id="0" name=""/>
            <xdr:cNvSpPr>
              <a:spLocks noTextEdit="1"/>
            </xdr:cNvSpPr>
          </xdr:nvSpPr>
          <xdr:spPr>
            <a:xfrm>
              <a:off x="5633762" y="5216270"/>
              <a:ext cx="4373854" cy="197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205154</xdr:colOff>
      <xdr:row>1</xdr:row>
      <xdr:rowOff>29307</xdr:rowOff>
    </xdr:from>
    <xdr:to>
      <xdr:col>19</xdr:col>
      <xdr:colOff>166077</xdr:colOff>
      <xdr:row>3</xdr:row>
      <xdr:rowOff>136769</xdr:rowOff>
    </xdr:to>
    <xdr:sp macro="" textlink="">
      <xdr:nvSpPr>
        <xdr:cNvPr id="7" name="Rectangle: Rounded Corners 6">
          <a:extLst>
            <a:ext uri="{FF2B5EF4-FFF2-40B4-BE49-F238E27FC236}">
              <a16:creationId xmlns:a16="http://schemas.microsoft.com/office/drawing/2014/main" id="{7F240255-F936-CF0B-2905-673D6508F1AC}"/>
            </a:ext>
          </a:extLst>
        </xdr:cNvPr>
        <xdr:cNvSpPr/>
      </xdr:nvSpPr>
      <xdr:spPr>
        <a:xfrm>
          <a:off x="4445000" y="214922"/>
          <a:ext cx="7229231" cy="625232"/>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US" sz="3200" b="1"/>
            <a:t>	Q&amp;T</a:t>
          </a:r>
          <a:r>
            <a:rPr lang="en-US" sz="3200" b="1" baseline="0"/>
            <a:t> SALES DASHBOARD</a:t>
          </a:r>
          <a:endParaRPr lang="en-US" sz="3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323850</xdr:colOff>
      <xdr:row>1</xdr:row>
      <xdr:rowOff>47625</xdr:rowOff>
    </xdr:from>
    <xdr:to>
      <xdr:col>9</xdr:col>
      <xdr:colOff>527050</xdr:colOff>
      <xdr:row>16</xdr:row>
      <xdr:rowOff>28575</xdr:rowOff>
    </xdr:to>
    <xdr:graphicFrame macro="">
      <xdr:nvGraphicFramePr>
        <xdr:cNvPr id="2" name="Chart 1">
          <a:extLst>
            <a:ext uri="{FF2B5EF4-FFF2-40B4-BE49-F238E27FC236}">
              <a16:creationId xmlns:a16="http://schemas.microsoft.com/office/drawing/2014/main" id="{D28792E3-C60F-49B5-9AD9-68E9231C6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57150</xdr:colOff>
      <xdr:row>0</xdr:row>
      <xdr:rowOff>180975</xdr:rowOff>
    </xdr:from>
    <xdr:to>
      <xdr:col>11</xdr:col>
      <xdr:colOff>234950</xdr:colOff>
      <xdr:row>11</xdr:row>
      <xdr:rowOff>38100</xdr:rowOff>
    </xdr:to>
    <xdr:graphicFrame macro="">
      <xdr:nvGraphicFramePr>
        <xdr:cNvPr id="2" name="Chart 1">
          <a:extLst>
            <a:ext uri="{FF2B5EF4-FFF2-40B4-BE49-F238E27FC236}">
              <a16:creationId xmlns:a16="http://schemas.microsoft.com/office/drawing/2014/main" id="{9FC1CE33-A711-4CEC-92A4-21CF032BDA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57150</xdr:colOff>
      <xdr:row>2</xdr:row>
      <xdr:rowOff>73025</xdr:rowOff>
    </xdr:from>
    <xdr:to>
      <xdr:col>10</xdr:col>
      <xdr:colOff>95250</xdr:colOff>
      <xdr:row>15</xdr:row>
      <xdr:rowOff>133350</xdr:rowOff>
    </xdr:to>
    <xdr:graphicFrame macro="">
      <xdr:nvGraphicFramePr>
        <xdr:cNvPr id="2" name="Chart 1">
          <a:extLst>
            <a:ext uri="{FF2B5EF4-FFF2-40B4-BE49-F238E27FC236}">
              <a16:creationId xmlns:a16="http://schemas.microsoft.com/office/drawing/2014/main" id="{47056EE2-F3A3-4738-9BA9-30F3F8831D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25400</xdr:colOff>
      <xdr:row>1</xdr:row>
      <xdr:rowOff>174625</xdr:rowOff>
    </xdr:from>
    <xdr:to>
      <xdr:col>11</xdr:col>
      <xdr:colOff>234950</xdr:colOff>
      <xdr:row>14</xdr:row>
      <xdr:rowOff>177800</xdr:rowOff>
    </xdr:to>
    <xdr:graphicFrame macro="">
      <xdr:nvGraphicFramePr>
        <xdr:cNvPr id="2" name="Chart 1">
          <a:extLst>
            <a:ext uri="{FF2B5EF4-FFF2-40B4-BE49-F238E27FC236}">
              <a16:creationId xmlns:a16="http://schemas.microsoft.com/office/drawing/2014/main" id="{2386763E-9B39-4FA1-BDAF-E2271B8581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34924</xdr:colOff>
      <xdr:row>1</xdr:row>
      <xdr:rowOff>28575</xdr:rowOff>
    </xdr:from>
    <xdr:to>
      <xdr:col>11</xdr:col>
      <xdr:colOff>311150</xdr:colOff>
      <xdr:row>11</xdr:row>
      <xdr:rowOff>44450</xdr:rowOff>
    </xdr:to>
    <xdr:graphicFrame macro="">
      <xdr:nvGraphicFramePr>
        <xdr:cNvPr id="3" name="Chart 2">
          <a:extLst>
            <a:ext uri="{FF2B5EF4-FFF2-40B4-BE49-F238E27FC236}">
              <a16:creationId xmlns:a16="http://schemas.microsoft.com/office/drawing/2014/main" id="{08164385-524D-4BC8-8959-3290EF1D9A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18.500943055558" createdVersion="7" refreshedVersion="7" minRefreshableVersion="3" recordCount="50" xr:uid="{FA33EE25-1FDF-4B8E-A964-625FA04F6468}">
  <cacheSource type="worksheet">
    <worksheetSource name="Table1"/>
  </cacheSource>
  <cacheFields count="12">
    <cacheField name="Customer ID" numFmtId="0">
      <sharedItems/>
    </cacheField>
    <cacheField name="Customer Name" numFmtId="0">
      <sharedItems/>
    </cacheField>
    <cacheField name="Region" numFmtId="0">
      <sharedItems/>
    </cacheField>
    <cacheField name="Country" numFmtId="0">
      <sharedItems/>
    </cacheField>
    <cacheField name="Product Category" numFmtId="0">
      <sharedItems/>
    </cacheField>
    <cacheField name="Order Date" numFmtId="0">
      <sharedItems containsDate="1" containsMixedTypes="1" minDate="2025-02-01T00:00:00" maxDate="2025-03-22T00:00:00" count="45">
        <d v="2025-03-10T00:00:00"/>
        <d v="2025-02-28T00:00:00"/>
        <d v="2025-03-05T00:00:00"/>
        <d v="2025-03-15T00:00:00"/>
        <d v="2025-02-20T00:00:00"/>
        <d v="2025-03-01T00:00:00"/>
        <d v="2025-02-25T00:00:00"/>
        <d v="2025-03-08T00:00:00"/>
        <d v="2025-02-18T00:00:00"/>
        <d v="2025-03-12T00:00:00"/>
        <d v="2025-02-22T00:00:00"/>
        <d v="2025-03-03T00:00:00"/>
        <d v="2025-02-15T00:00:00"/>
        <d v="2025-03-18T00:00:00"/>
        <d v="2025-02-27T00:00:00"/>
        <d v="2025-03-07T00:00:00"/>
        <d v="2025-02-10T00:00:00"/>
        <d v="2025-03-14T00:00:00"/>
        <d v="2025-02-05T00:00:00"/>
        <d v="2025-03-20T00:00:00"/>
        <d v="2025-02-12T00:00:00"/>
        <d v="2025-03-09T00:00:00"/>
        <d v="2025-02-23T00:00:00"/>
        <d v="2025-03-17T00:00:00"/>
        <d v="2025-02-08T00:00:00"/>
        <d v="2025-03-04T00:00:00"/>
        <d v="2025-02-19T00:00:00"/>
        <d v="2025-03-13T00:00:00"/>
        <d v="2025-02-01T00:00:00"/>
        <d v="2025-03-16T00:00:00"/>
        <d v="2025-02-14T00:00:00"/>
        <d v="2025-03-02T00:00:00"/>
        <d v="2025-02-26T00:00:00"/>
        <d v="2025-03-11T00:00:00"/>
        <d v="2025-02-07T00:00:00"/>
        <d v="2025-03-19T00:00:00"/>
        <d v="2025-02-21T00:00:00"/>
        <d v="2025-03-06T00:00:00"/>
        <d v="2025-02-17T00:00:00"/>
        <d v="2025-03-21T00:00:00"/>
        <d v="2025-02-09T00:00:00"/>
        <d v="2025-02-24T00:00:00"/>
        <d v="2025-02-13T00:00:00"/>
        <d v="2025-02-03T00:00:00"/>
        <s v="2025-02-29"/>
      </sharedItems>
    </cacheField>
    <cacheField name="Customer Since" numFmtId="14">
      <sharedItems containsSemiMixedTypes="0" containsNonDate="0" containsDate="1" containsString="0" minDate="2020-05-19T00:00:00" maxDate="2023-12-02T00:00:00"/>
    </cacheField>
    <cacheField name="Sales Amount" numFmtId="0">
      <sharedItems containsSemiMixedTypes="0" containsString="0" containsNumber="1" minValue="150.25" maxValue="2250"/>
    </cacheField>
    <cacheField name="Order Quantity" numFmtId="0">
      <sharedItems containsSemiMixedTypes="0" containsString="0" containsNumber="1" containsInteger="1" minValue="2" maxValue="12"/>
    </cacheField>
    <cacheField name="Profit Margin %" numFmtId="0">
      <sharedItems containsSemiMixedTypes="0" containsString="0" containsNumber="1" minValue="26" maxValue="42.5"/>
    </cacheField>
    <cacheField name="Customer Tier" numFmtId="0">
      <sharedItems/>
    </cacheField>
    <cacheField name="Sales Rep" numFmtId="0">
      <sharedItems count="6">
        <s v="James Wilson"/>
        <s v="Lisa Chen"/>
        <s v="Mark Johnson"/>
        <s v="Sarah Kim"/>
        <s v="David Lopez"/>
        <s v="Emma Wright"/>
      </sharedItems>
    </cacheField>
  </cacheFields>
  <extLst>
    <ext xmlns:x14="http://schemas.microsoft.com/office/spreadsheetml/2009/9/main" uri="{725AE2AE-9491-48be-B2B4-4EB974FC3084}">
      <x14:pivotCacheDefinition pivotCacheId="9452824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18.572393981478" backgroundQuery="1" createdVersion="7" refreshedVersion="7" minRefreshableVersion="3" recordCount="0" supportSubquery="1" supportAdvancedDrill="1" xr:uid="{3CF7674A-0FE9-45CB-9F44-5E095EEDE90E}">
  <cacheSource type="external" connectionId="1"/>
  <cacheFields count="3">
    <cacheField name="[Measures].[Sum of Profit Margin %]" caption="Sum of Profit Margin %" numFmtId="0" hierarchy="16" level="32767"/>
    <cacheField name="[Table1].[Sales Rep].[Sales Rep]" caption="Sales Rep" numFmtId="0" hierarchy="11" level="1">
      <sharedItems count="6">
        <s v="David Lopez"/>
        <s v="Emma Wright"/>
        <s v="James Wilson"/>
        <s v="Lisa Chen"/>
        <s v="Mark Johnson"/>
        <s v="Sarah Kim"/>
      </sharedItems>
    </cacheField>
    <cacheField name="[Table1].[Order Date].[Order Date]" caption="Order Date" numFmtId="0" hierarchy="5" level="1">
      <sharedItems containsSemiMixedTypes="0" containsNonDate="0" containsString="0"/>
    </cacheField>
  </cacheFields>
  <cacheHierarchies count="17">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Order Date]" caption="Order Date" attribute="1" defaultMemberUniqueName="[Table1].[Order Date].[All]" allUniqueName="[Table1].[Order Date].[All]" dimensionUniqueName="[Table1]" displayFolder="" count="2" memberValueDatatype="130" unbalanced="0">
      <fieldsUsage count="2">
        <fieldUsage x="-1"/>
        <fieldUsage x="2"/>
      </fieldsUsage>
    </cacheHierarchy>
    <cacheHierarchy uniqueName="[Table1].[Customer Since]" caption="Customer Since" attribute="1" time="1" defaultMemberUniqueName="[Table1].[Customer Since].[All]" allUniqueName="[Table1].[Customer Since].[All]" dimensionUniqueName="[Table1]" displayFolder="" count="2" memberValueDatatype="7" unbalanced="0"/>
    <cacheHierarchy uniqueName="[Table1].[Sales Amount]" caption="Sales Amount" attribute="1" defaultMemberUniqueName="[Table1].[Sales Amount].[All]" allUniqueName="[Table1].[Sales Amount].[All]" dimensionUniqueName="[Table1]" displayFolder="" count="2" memberValueDatatype="5" unbalanced="0"/>
    <cacheHierarchy uniqueName="[Table1].[Order Quantity]" caption="Order Quantity" attribute="1" defaultMemberUniqueName="[Table1].[Order Quantity].[All]" allUniqueName="[Table1].[Order Quantity].[All]" dimensionUniqueName="[Table1]" displayFolder="" count="2" memberValueDatatype="20" unbalanced="0"/>
    <cacheHierarchy uniqueName="[Table1].[Profit Margin %]" caption="Profit Margin %" attribute="1" defaultMemberUniqueName="[Table1].[Profit Margin %].[All]" allUniqueName="[Table1].[Profit Margin %].[All]" dimensionUniqueName="[Table1]" displayFolder="" count="2" memberValueDatatype="5" unbalanced="0"/>
    <cacheHierarchy uniqueName="[Table1].[Customer Tier]" caption="Customer Tier" attribute="1" defaultMemberUniqueName="[Table1].[Customer Tier].[All]" allUniqueName="[Table1].[Customer Tier].[All]" dimensionUniqueName="[Table1]" displayFolder="" count="2" memberValueDatatype="130" unbalanced="0"/>
    <cacheHierarchy uniqueName="[Table1].[Sales Rep]" caption="Sales Rep" attribute="1" defaultMemberUniqueName="[Table1].[Sales Rep].[All]" allUniqueName="[Table1].[Sales Rep].[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7"/>
        </ext>
      </extLst>
    </cacheHierarchy>
    <cacheHierarchy uniqueName="[Measures].[Sum of Order Quantity]" caption="Sum of Order Quantity" measure="1" displayFolder="" measureGroup="Table1" count="0" hidden="1">
      <extLst>
        <ext xmlns:x15="http://schemas.microsoft.com/office/spreadsheetml/2010/11/main" uri="{B97F6D7D-B522-45F9-BDA1-12C45D357490}">
          <x15:cacheHierarchy aggregatedColumn="8"/>
        </ext>
      </extLst>
    </cacheHierarchy>
    <cacheHierarchy uniqueName="[Measures].[Sum of Profit Margin %]" caption="Sum of Profit Margin %"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18.572394328701" backgroundQuery="1" createdVersion="7" refreshedVersion="7" minRefreshableVersion="3" recordCount="0" supportSubquery="1" supportAdvancedDrill="1" xr:uid="{E6F58E76-BFA9-410B-A676-FE13374EE954}">
  <cacheSource type="external" connectionId="1"/>
  <cacheFields count="5">
    <cacheField name="[Table1].[Customer Name].[Customer Name]" caption="Customer Name" numFmtId="0" hierarchy="1" level="1">
      <sharedItems containsSemiMixedTypes="0" containsNonDate="0" containsString="0"/>
    </cacheField>
    <cacheField name="[Table1].[Country].[Country]" caption="Country" numFmtId="0" hierarchy="3" level="1">
      <sharedItems count="2">
        <s v="Canada"/>
        <s v="USA"/>
      </sharedItems>
    </cacheField>
    <cacheField name="[Table1].[Product Category].[Product Category]" caption="Product Category" numFmtId="0" hierarchy="4" level="1">
      <sharedItems count="3">
        <s v="Electronics"/>
        <s v="Furniture"/>
        <s v="Office Supplies"/>
      </sharedItems>
    </cacheField>
    <cacheField name="[Measures].[Sum of Sales Amount]" caption="Sum of Sales Amount" numFmtId="0" hierarchy="14" level="32767"/>
    <cacheField name="[Table1].[Order Date].[Order Date]" caption="Order Date" numFmtId="0" hierarchy="5" level="1">
      <sharedItems containsSemiMixedTypes="0" containsNonDate="0" containsString="0"/>
    </cacheField>
  </cacheFields>
  <cacheHierarchies count="17">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1"/>
      </fieldsUsage>
    </cacheHierarchy>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2"/>
      </fieldsUsage>
    </cacheHierarchy>
    <cacheHierarchy uniqueName="[Table1].[Order Date]" caption="Order Date" attribute="1" defaultMemberUniqueName="[Table1].[Order Date].[All]" allUniqueName="[Table1].[Order Date].[All]" dimensionUniqueName="[Table1]" displayFolder="" count="2" memberValueDatatype="130" unbalanced="0">
      <fieldsUsage count="2">
        <fieldUsage x="-1"/>
        <fieldUsage x="4"/>
      </fieldsUsage>
    </cacheHierarchy>
    <cacheHierarchy uniqueName="[Table1].[Customer Since]" caption="Customer Since" attribute="1" time="1" defaultMemberUniqueName="[Table1].[Customer Since].[All]" allUniqueName="[Table1].[Customer Since].[All]" dimensionUniqueName="[Table1]" displayFolder="" count="2" memberValueDatatype="7" unbalanced="0"/>
    <cacheHierarchy uniqueName="[Table1].[Sales Amount]" caption="Sales Amount" attribute="1" defaultMemberUniqueName="[Table1].[Sales Amount].[All]" allUniqueName="[Table1].[Sales Amount].[All]" dimensionUniqueName="[Table1]" displayFolder="" count="2" memberValueDatatype="5" unbalanced="0"/>
    <cacheHierarchy uniqueName="[Table1].[Order Quantity]" caption="Order Quantity" attribute="1" defaultMemberUniqueName="[Table1].[Order Quantity].[All]" allUniqueName="[Table1].[Order Quantity].[All]" dimensionUniqueName="[Table1]" displayFolder="" count="2" memberValueDatatype="20" unbalanced="0"/>
    <cacheHierarchy uniqueName="[Table1].[Profit Margin %]" caption="Profit Margin %" attribute="1" defaultMemberUniqueName="[Table1].[Profit Margin %].[All]" allUniqueName="[Table1].[Profit Margin %].[All]" dimensionUniqueName="[Table1]" displayFolder="" count="2" memberValueDatatype="5" unbalanced="0"/>
    <cacheHierarchy uniqueName="[Table1].[Customer Tier]" caption="Customer Tier" attribute="1" defaultMemberUniqueName="[Table1].[Customer Tier].[All]" allUniqueName="[Table1].[Customer Tier].[All]" dimensionUniqueName="[Table1]" displayFolder="" count="2" memberValueDatatype="130" unbalanced="0"/>
    <cacheHierarchy uniqueName="[Table1].[Sales Rep]" caption="Sales Rep" attribute="1" defaultMemberUniqueName="[Table1].[Sales Rep].[All]" allUniqueName="[Table1].[Sales Rep].[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Order Quantity]" caption="Sum of Order Quantity" measure="1" displayFolder="" measureGroup="Table1" count="0" hidden="1">
      <extLst>
        <ext xmlns:x15="http://schemas.microsoft.com/office/spreadsheetml/2010/11/main" uri="{B97F6D7D-B522-45F9-BDA1-12C45D357490}">
          <x15:cacheHierarchy aggregatedColumn="8"/>
        </ext>
      </extLst>
    </cacheHierarchy>
    <cacheHierarchy uniqueName="[Measures].[Sum of Profit Margin %]" caption="Sum of Profit Margin %"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18.572394907409" backgroundQuery="1" createdVersion="7" refreshedVersion="7" minRefreshableVersion="3" recordCount="0" supportSubquery="1" supportAdvancedDrill="1" xr:uid="{F70FB9C9-0B87-4E13-8010-8A8545A69AC7}">
  <cacheSource type="external" connectionId="1"/>
  <cacheFields count="4">
    <cacheField name="[Table1].[Customer Tier].[Customer Tier]" caption="Customer Tier" numFmtId="0" hierarchy="10" level="1">
      <sharedItems count="3">
        <s v="Bronze"/>
        <s v="Gold"/>
        <s v="Silver"/>
      </sharedItems>
    </cacheField>
    <cacheField name="[Measures].[Sum of Sales Amount]" caption="Sum of Sales Amount" numFmtId="0" hierarchy="14" level="32767"/>
    <cacheField name="[Table1].[Region].[Region]" caption="Region" numFmtId="0" hierarchy="2" level="1">
      <sharedItems containsSemiMixedTypes="0" containsNonDate="0" containsString="0"/>
    </cacheField>
    <cacheField name="[Table1].[Order Date].[Order Date]" caption="Order Date" numFmtId="0" hierarchy="5" level="1">
      <sharedItems containsSemiMixedTypes="0" containsNonDate="0" containsString="0"/>
    </cacheField>
  </cacheFields>
  <cacheHierarchies count="17">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Order Date]" caption="Order Date" attribute="1" defaultMemberUniqueName="[Table1].[Order Date].[All]" allUniqueName="[Table1].[Order Date].[All]" dimensionUniqueName="[Table1]" displayFolder="" count="2" memberValueDatatype="130" unbalanced="0">
      <fieldsUsage count="2">
        <fieldUsage x="-1"/>
        <fieldUsage x="3"/>
      </fieldsUsage>
    </cacheHierarchy>
    <cacheHierarchy uniqueName="[Table1].[Customer Since]" caption="Customer Since" attribute="1" time="1" defaultMemberUniqueName="[Table1].[Customer Since].[All]" allUniqueName="[Table1].[Customer Since].[All]" dimensionUniqueName="[Table1]" displayFolder="" count="2" memberValueDatatype="7" unbalanced="0"/>
    <cacheHierarchy uniqueName="[Table1].[Sales Amount]" caption="Sales Amount" attribute="1" defaultMemberUniqueName="[Table1].[Sales Amount].[All]" allUniqueName="[Table1].[Sales Amount].[All]" dimensionUniqueName="[Table1]" displayFolder="" count="2" memberValueDatatype="5" unbalanced="0"/>
    <cacheHierarchy uniqueName="[Table1].[Order Quantity]" caption="Order Quantity" attribute="1" defaultMemberUniqueName="[Table1].[Order Quantity].[All]" allUniqueName="[Table1].[Order Quantity].[All]" dimensionUniqueName="[Table1]" displayFolder="" count="2" memberValueDatatype="20" unbalanced="0"/>
    <cacheHierarchy uniqueName="[Table1].[Profit Margin %]" caption="Profit Margin %" attribute="1" defaultMemberUniqueName="[Table1].[Profit Margin %].[All]" allUniqueName="[Table1].[Profit Margin %].[All]" dimensionUniqueName="[Table1]" displayFolder="" count="2" memberValueDatatype="5" unbalanced="0"/>
    <cacheHierarchy uniqueName="[Table1].[Customer Tier]" caption="Customer Tier" attribute="1" defaultMemberUniqueName="[Table1].[Customer Tier].[All]" allUniqueName="[Table1].[Customer Tier].[All]" dimensionUniqueName="[Table1]" displayFolder="" count="2" memberValueDatatype="130" unbalanced="0">
      <fieldsUsage count="2">
        <fieldUsage x="-1"/>
        <fieldUsage x="0"/>
      </fieldsUsage>
    </cacheHierarchy>
    <cacheHierarchy uniqueName="[Table1].[Sales Rep]" caption="Sales Rep" attribute="1" defaultMemberUniqueName="[Table1].[Sales Rep].[All]" allUniqueName="[Table1].[Sales Rep].[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Order Quantity]" caption="Sum of Order Quantity" measure="1" displayFolder="" measureGroup="Table1" count="0" hidden="1">
      <extLst>
        <ext xmlns:x15="http://schemas.microsoft.com/office/spreadsheetml/2010/11/main" uri="{B97F6D7D-B522-45F9-BDA1-12C45D357490}">
          <x15:cacheHierarchy aggregatedColumn="8"/>
        </ext>
      </extLst>
    </cacheHierarchy>
    <cacheHierarchy uniqueName="[Measures].[Sum of Profit Margin %]" caption="Sum of Profit Margin %"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18.57363298611" backgroundQuery="1" createdVersion="7" refreshedVersion="7" minRefreshableVersion="3" recordCount="0" supportSubquery="1" supportAdvancedDrill="1" xr:uid="{4A8A6876-2564-45DA-8D63-7DCE512C8F8B}">
  <cacheSource type="external" connectionId="1"/>
  <cacheFields count="3">
    <cacheField name="[Table1].[Product Category].[Product Category]" caption="Product Category" numFmtId="0" hierarchy="4" level="1">
      <sharedItems count="3">
        <s v="Electronics"/>
        <s v="Furniture"/>
        <s v="Office Supplies"/>
      </sharedItems>
    </cacheField>
    <cacheField name="[Measures].[Sum of Order Quantity]" caption="Sum of Order Quantity" numFmtId="0" hierarchy="15" level="32767"/>
    <cacheField name="[Table1].[Country].[Country]" caption="Country" numFmtId="0" hierarchy="3" level="1">
      <sharedItems containsSemiMixedTypes="0" containsNonDate="0" containsString="0"/>
    </cacheField>
  </cacheFields>
  <cacheHierarchies count="17">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2"/>
      </fieldsUsage>
    </cacheHierarchy>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0"/>
      </fieldsUsage>
    </cacheHierarchy>
    <cacheHierarchy uniqueName="[Table1].[Order Date]" caption="Order Date" attribute="1" defaultMemberUniqueName="[Table1].[Order Date].[All]" allUniqueName="[Table1].[Order Date].[All]" dimensionUniqueName="[Table1]" displayFolder="" count="2" memberValueDatatype="130" unbalanced="0"/>
    <cacheHierarchy uniqueName="[Table1].[Customer Since]" caption="Customer Since" attribute="1" time="1" defaultMemberUniqueName="[Table1].[Customer Since].[All]" allUniqueName="[Table1].[Customer Since].[All]" dimensionUniqueName="[Table1]" displayFolder="" count="2" memberValueDatatype="7" unbalanced="0"/>
    <cacheHierarchy uniqueName="[Table1].[Sales Amount]" caption="Sales Amount" attribute="1" defaultMemberUniqueName="[Table1].[Sales Amount].[All]" allUniqueName="[Table1].[Sales Amount].[All]" dimensionUniqueName="[Table1]" displayFolder="" count="2" memberValueDatatype="5" unbalanced="0"/>
    <cacheHierarchy uniqueName="[Table1].[Order Quantity]" caption="Order Quantity" attribute="1" defaultMemberUniqueName="[Table1].[Order Quantity].[All]" allUniqueName="[Table1].[Order Quantity].[All]" dimensionUniqueName="[Table1]" displayFolder="" count="2" memberValueDatatype="20" unbalanced="0"/>
    <cacheHierarchy uniqueName="[Table1].[Profit Margin %]" caption="Profit Margin %" attribute="1" defaultMemberUniqueName="[Table1].[Profit Margin %].[All]" allUniqueName="[Table1].[Profit Margin %].[All]" dimensionUniqueName="[Table1]" displayFolder="" count="2" memberValueDatatype="5" unbalanced="0"/>
    <cacheHierarchy uniqueName="[Table1].[Customer Tier]" caption="Customer Tier" attribute="1" defaultMemberUniqueName="[Table1].[Customer Tier].[All]" allUniqueName="[Table1].[Customer Tier].[All]" dimensionUniqueName="[Table1]" displayFolder="" count="2" memberValueDatatype="130" unbalanced="0"/>
    <cacheHierarchy uniqueName="[Table1].[Sales Rep]" caption="Sales Rep" attribute="1" defaultMemberUniqueName="[Table1].[Sales Rep].[All]" allUniqueName="[Table1].[Sales Rep].[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7"/>
        </ext>
      </extLst>
    </cacheHierarchy>
    <cacheHierarchy uniqueName="[Measures].[Sum of Order Quantity]" caption="Sum of Order Quantity"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rofit Margin %]" caption="Sum of Profit Margin %"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18.558557060183" backgroundQuery="1" createdVersion="3" refreshedVersion="7" minRefreshableVersion="3" recordCount="0" supportSubquery="1" supportAdvancedDrill="1" xr:uid="{2F2D92FA-C38F-4D56-AE7D-1CBBC190A950}">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Order Date]" caption="Order Date" attribute="1" defaultMemberUniqueName="[Table1].[Order Date].[All]" allUniqueName="[Table1].[Order Date].[All]" dimensionUniqueName="[Table1]" displayFolder="" count="2" memberValueDatatype="130" unbalanced="0"/>
    <cacheHierarchy uniqueName="[Table1].[Customer Since]" caption="Customer Since" attribute="1" time="1" defaultMemberUniqueName="[Table1].[Customer Since].[All]" allUniqueName="[Table1].[Customer Since].[All]" dimensionUniqueName="[Table1]" displayFolder="" count="0" memberValueDatatype="7" unbalanced="0"/>
    <cacheHierarchy uniqueName="[Table1].[Sales Amount]" caption="Sales Amount" attribute="1" defaultMemberUniqueName="[Table1].[Sales Amount].[All]" allUniqueName="[Table1].[Sales Amount].[All]" dimensionUniqueName="[Table1]" displayFolder="" count="0" memberValueDatatype="5" unbalanced="0"/>
    <cacheHierarchy uniqueName="[Table1].[Order Quantity]" caption="Order Quantity" attribute="1" defaultMemberUniqueName="[Table1].[Order Quantity].[All]" allUniqueName="[Table1].[Order Quantity].[All]" dimensionUniqueName="[Table1]" displayFolder="" count="0" memberValueDatatype="20"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Customer Tier]" caption="Customer Tier" attribute="1" defaultMemberUniqueName="[Table1].[Customer Tier].[All]" allUniqueName="[Table1].[Customer Tier].[All]" dimensionUniqueName="[Table1]" displayFolder="" count="0" memberValueDatatype="130" unbalanced="0"/>
    <cacheHierarchy uniqueName="[Table1].[Sales Rep]" caption="Sales Rep" attribute="1" defaultMemberUniqueName="[Table1].[Sales Rep].[All]" allUniqueName="[Table1].[Sales Re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7"/>
        </ext>
      </extLst>
    </cacheHierarchy>
    <cacheHierarchy uniqueName="[Measures].[Sum of Order Quantity]" caption="Sum of Order Quantity" measure="1" displayFolder="" measureGroup="Table1" count="0" hidden="1">
      <extLst>
        <ext xmlns:x15="http://schemas.microsoft.com/office/spreadsheetml/2010/11/main" uri="{B97F6D7D-B522-45F9-BDA1-12C45D357490}">
          <x15:cacheHierarchy aggregatedColumn="8"/>
        </ext>
      </extLst>
    </cacheHierarchy>
    <cacheHierarchy uniqueName="[Measures].[Sum of Profit Margin %]" caption="Sum of Profit Margin %" measure="1" displayFolder="" measureGroup="Table1"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05193378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CUST001"/>
    <s v="Alpha Solutions"/>
    <s v="North"/>
    <s v="USA"/>
    <s v="Electronics"/>
    <x v="0"/>
    <d v="2022-06-15T00:00:00"/>
    <n v="1420"/>
    <n v="6"/>
    <n v="38.5"/>
    <s v="Gold"/>
    <x v="0"/>
  </r>
  <r>
    <s v="CUST002"/>
    <s v="Beta Innovations"/>
    <s v="South"/>
    <s v="USA"/>
    <s v="Office Supplies"/>
    <x v="1"/>
    <d v="2023-01-10T00:00:00"/>
    <n v="320.5"/>
    <n v="12"/>
    <n v="32"/>
    <s v="Silver"/>
    <x v="1"/>
  </r>
  <r>
    <s v="CUST003"/>
    <s v="Gamma Tech"/>
    <s v="West"/>
    <s v="USA"/>
    <s v="Furniture"/>
    <x v="2"/>
    <d v="2021-11-22T00:00:00"/>
    <n v="890.75"/>
    <n v="3"/>
    <n v="30.5"/>
    <s v="Silver"/>
    <x v="2"/>
  </r>
  <r>
    <s v="CUST004"/>
    <s v="Delta Dynamics"/>
    <s v="East"/>
    <s v="Canada"/>
    <s v="Electronics"/>
    <x v="3"/>
    <d v="2020-08-05T00:00:00"/>
    <n v="2100"/>
    <n v="7"/>
    <n v="41"/>
    <s v="Gold"/>
    <x v="3"/>
  </r>
  <r>
    <s v="CUST005"/>
    <s v="Echo Systems"/>
    <s v="North"/>
    <s v="USA"/>
    <s v="Office Supplies"/>
    <x v="4"/>
    <d v="2023-05-18T00:00:00"/>
    <n v="150.25"/>
    <n v="8"/>
    <n v="28"/>
    <s v="Bronze"/>
    <x v="4"/>
  </r>
  <r>
    <s v="CUST006"/>
    <s v="Foxtrot Corp"/>
    <s v="South"/>
    <s v="USA"/>
    <s v="Furniture"/>
    <x v="5"/>
    <d v="2022-09-30T00:00:00"/>
    <n v="675"/>
    <n v="2"/>
    <n v="29.5"/>
    <s v="Bronze"/>
    <x v="5"/>
  </r>
  <r>
    <s v="CUST007"/>
    <s v="Golf Enterprises"/>
    <s v="West"/>
    <s v="USA"/>
    <s v="Electronics"/>
    <x v="6"/>
    <d v="2021-03-12T00:00:00"/>
    <n v="950"/>
    <n v="4"/>
    <n v="36"/>
    <s v="Silver"/>
    <x v="0"/>
  </r>
  <r>
    <s v="CUST008"/>
    <s v="Hotel Group"/>
    <s v="East"/>
    <s v="Canada"/>
    <s v="Office Supplies"/>
    <x v="7"/>
    <d v="2023-07-14T00:00:00"/>
    <n v="210"/>
    <n v="10"/>
    <n v="27.5"/>
    <s v="Bronze"/>
    <x v="3"/>
  </r>
  <r>
    <s v="CUST009"/>
    <s v="India Networks"/>
    <s v="North"/>
    <s v="USA"/>
    <s v="Furniture"/>
    <x v="8"/>
    <d v="2020-12-01T00:00:00"/>
    <n v="1320"/>
    <n v="5"/>
    <n v="33"/>
    <s v="Silver"/>
    <x v="2"/>
  </r>
  <r>
    <s v="CUST010"/>
    <s v="Juliett Media"/>
    <s v="South"/>
    <s v="USA"/>
    <s v="Electronics"/>
    <x v="9"/>
    <d v="2022-02-28T00:00:00"/>
    <n v="1750"/>
    <n v="6"/>
    <n v="40"/>
    <s v="Gold"/>
    <x v="1"/>
  </r>
  <r>
    <s v="CUST011"/>
    <s v="Kilo Logistics"/>
    <s v="West"/>
    <s v="USA"/>
    <s v="Office Supplies"/>
    <x v="10"/>
    <d v="2023-10-05T00:00:00"/>
    <n v="185.75"/>
    <n v="9"/>
    <n v="26.5"/>
    <s v="Bronze"/>
    <x v="5"/>
  </r>
  <r>
    <s v="CUST012"/>
    <s v="Lima Builders"/>
    <s v="East"/>
    <s v="Canada"/>
    <s v="Furniture"/>
    <x v="11"/>
    <d v="2021-07-19T00:00:00"/>
    <n v="980.5"/>
    <n v="4"/>
    <n v="31.5"/>
    <s v="Silver"/>
    <x v="3"/>
  </r>
  <r>
    <s v="CUST013"/>
    <s v="Mike Retail"/>
    <s v="North"/>
    <s v="USA"/>
    <s v="Electronics"/>
    <x v="12"/>
    <d v="2022-11-11T00:00:00"/>
    <n v="1680"/>
    <n v="5"/>
    <n v="39"/>
    <s v="Gold"/>
    <x v="0"/>
  </r>
  <r>
    <s v="CUST014"/>
    <s v="November Tech"/>
    <s v="South"/>
    <s v="USA"/>
    <s v="Office Supplies"/>
    <x v="13"/>
    <d v="2023-04-22T00:00:00"/>
    <n v="295"/>
    <n v="11"/>
    <n v="28.5"/>
    <s v="Bronze"/>
    <x v="1"/>
  </r>
  <r>
    <s v="CUST015"/>
    <s v="Oscar Solutions"/>
    <s v="West"/>
    <s v="USA"/>
    <s v="Electronics"/>
    <x v="14"/>
    <d v="2021-01-30T00:00:00"/>
    <n v="2200"/>
    <n v="8"/>
    <n v="42"/>
    <s v="Gold"/>
    <x v="2"/>
  </r>
  <r>
    <s v="CUST016"/>
    <s v="Papa Systems"/>
    <s v="East"/>
    <s v="Canada"/>
    <s v="Furniture"/>
    <x v="15"/>
    <d v="2022-08-14T00:00:00"/>
    <n v="760.25"/>
    <n v="3"/>
    <n v="30"/>
    <s v="Silver"/>
    <x v="5"/>
  </r>
  <r>
    <s v="CUST017"/>
    <s v="Quebec Innovate"/>
    <s v="North"/>
    <s v="Canada"/>
    <s v="Office Supplies"/>
    <x v="16"/>
    <d v="2023-12-01T00:00:00"/>
    <n v="210"/>
    <n v="10"/>
    <n v="27"/>
    <s v="Bronze"/>
    <x v="3"/>
  </r>
  <r>
    <s v="CUST018"/>
    <s v="Romeo Designs"/>
    <s v="South"/>
    <s v="USA"/>
    <s v="Electronics"/>
    <x v="17"/>
    <d v="2020-10-15T00:00:00"/>
    <n v="1930"/>
    <n v="7"/>
    <n v="37.5"/>
    <s v="Gold"/>
    <x v="1"/>
  </r>
  <r>
    <s v="CUST019"/>
    <s v="Sierra Group"/>
    <s v="West"/>
    <s v="USA"/>
    <s v="Furniture"/>
    <x v="18"/>
    <d v="2022-05-20T00:00:00"/>
    <n v="840"/>
    <n v="2"/>
    <n v="29"/>
    <s v="Bronze"/>
    <x v="0"/>
  </r>
  <r>
    <s v="CUST020"/>
    <s v="Tango Ventures"/>
    <s v="East"/>
    <s v="Canada"/>
    <s v="Office Supplies"/>
    <x v="19"/>
    <d v="2023-02-28T00:00:00"/>
    <n v="175.5"/>
    <n v="8"/>
    <n v="26"/>
    <s v="Bronze"/>
    <x v="3"/>
  </r>
  <r>
    <s v="CUST021"/>
    <s v="Uniform Data"/>
    <s v="North"/>
    <s v="USA"/>
    <s v="Electronics"/>
    <x v="20"/>
    <d v="2021-09-10T00:00:00"/>
    <n v="1560"/>
    <n v="6"/>
    <n v="35.5"/>
    <s v="Silver"/>
    <x v="2"/>
  </r>
  <r>
    <s v="CUST022"/>
    <s v="Victor Analytics"/>
    <s v="South"/>
    <s v="USA"/>
    <s v="Office Supplies"/>
    <x v="21"/>
    <d v="2023-06-17T00:00:00"/>
    <n v="230.25"/>
    <n v="9"/>
    <n v="28"/>
    <s v="Bronze"/>
    <x v="5"/>
  </r>
  <r>
    <s v="CUST023"/>
    <s v="Whiskey Labs"/>
    <s v="West"/>
    <s v="USA"/>
    <s v="Furniture"/>
    <x v="22"/>
    <d v="2020-07-08T00:00:00"/>
    <n v="1020"/>
    <n v="5"/>
    <n v="32.5"/>
    <s v="Silver"/>
    <x v="0"/>
  </r>
  <r>
    <s v="CUST024"/>
    <s v="Xray Solutions"/>
    <s v="East"/>
    <s v="Canada"/>
    <s v="Electronics"/>
    <x v="23"/>
    <d v="2022-01-25T00:00:00"/>
    <n v="2050"/>
    <n v="9"/>
    <n v="40.5"/>
    <s v="Gold"/>
    <x v="1"/>
  </r>
  <r>
    <s v="CUST025"/>
    <s v="Yankee Systems"/>
    <s v="North"/>
    <s v="USA"/>
    <s v="Office Supplies"/>
    <x v="24"/>
    <d v="2023-08-30T00:00:00"/>
    <n v="195"/>
    <n v="10"/>
    <n v="27.5"/>
    <s v="Bronze"/>
    <x v="2"/>
  </r>
  <r>
    <s v="CUST026"/>
    <s v="Zulu Networks"/>
    <s v="South"/>
    <s v="USA"/>
    <s v="Furniture"/>
    <x v="25"/>
    <d v="2021-04-12T00:00:00"/>
    <n v="890"/>
    <n v="3"/>
    <n v="31"/>
    <s v="Silver"/>
    <x v="5"/>
  </r>
  <r>
    <s v="CUST027"/>
    <s v="Apex Dynamics"/>
    <s v="West"/>
    <s v="USA"/>
    <s v="Electronics"/>
    <x v="26"/>
    <d v="2022-10-05T00:00:00"/>
    <n v="1820"/>
    <n v="7"/>
    <n v="38"/>
    <s v="Gold"/>
    <x v="3"/>
  </r>
  <r>
    <s v="CUST028"/>
    <s v="Bravo Tech"/>
    <s v="East"/>
    <s v="Canada"/>
    <s v="Office Supplies"/>
    <x v="27"/>
    <d v="2023-11-20T00:00:00"/>
    <n v="265.75"/>
    <n v="12"/>
    <n v="29"/>
    <s v="Bronze"/>
    <x v="0"/>
  </r>
  <r>
    <s v="CUST029"/>
    <s v="Champion LLC"/>
    <s v="North"/>
    <s v="USA"/>
    <s v="Furniture"/>
    <x v="28"/>
    <d v="2020-05-19T00:00:00"/>
    <n v="740.5"/>
    <n v="2"/>
    <n v="30"/>
    <s v="Silver"/>
    <x v="1"/>
  </r>
  <r>
    <s v="CUST030"/>
    <s v="Dynamo Inc"/>
    <s v="South"/>
    <s v="USA"/>
    <s v="Electronics"/>
    <x v="29"/>
    <d v="2021-12-07T00:00:00"/>
    <n v="2150"/>
    <n v="8"/>
    <n v="41.5"/>
    <s v="Gold"/>
    <x v="2"/>
  </r>
  <r>
    <s v="CUST031"/>
    <s v="Evergreen Co"/>
    <s v="West"/>
    <s v="USA"/>
    <s v="Office Supplies"/>
    <x v="30"/>
    <d v="2023-09-14T00:00:00"/>
    <n v="200"/>
    <n v="9"/>
    <n v="26.5"/>
    <s v="Bronze"/>
    <x v="5"/>
  </r>
  <r>
    <s v="CUST032"/>
    <s v="Fusion Labs"/>
    <s v="East"/>
    <s v="Canada"/>
    <s v="Furniture"/>
    <x v="31"/>
    <d v="2022-07-21T00:00:00"/>
    <n v="930.25"/>
    <n v="4"/>
    <n v="32"/>
    <s v="Silver"/>
    <x v="3"/>
  </r>
  <r>
    <s v="CUST033"/>
    <s v="Global Reach"/>
    <s v="North"/>
    <s v="USA"/>
    <s v="Electronics"/>
    <x v="32"/>
    <d v="2021-02-18T00:00:00"/>
    <n v="1690"/>
    <n v="6"/>
    <n v="36.5"/>
    <s v="Gold"/>
    <x v="0"/>
  </r>
  <r>
    <s v="CUST034"/>
    <s v="Horizon Group"/>
    <s v="South"/>
    <s v="USA"/>
    <s v="Office Supplies"/>
    <x v="33"/>
    <d v="2023-03-01T00:00:00"/>
    <n v="188.5"/>
    <n v="8"/>
    <n v="27"/>
    <s v="Bronze"/>
    <x v="1"/>
  </r>
  <r>
    <s v="CUST035"/>
    <s v="Ignite Solutions"/>
    <s v="West"/>
    <s v="USA"/>
    <s v="Furniture"/>
    <x v="34"/>
    <d v="2020-09-25T00:00:00"/>
    <n v="810"/>
    <n v="3"/>
    <n v="29.5"/>
    <s v="Bronze"/>
    <x v="2"/>
  </r>
  <r>
    <s v="CUST036"/>
    <s v="Junction Tech"/>
    <s v="East"/>
    <s v="Canada"/>
    <s v="Electronics"/>
    <x v="35"/>
    <d v="2022-04-10T00:00:00"/>
    <n v="1980"/>
    <n v="7"/>
    <n v="39.5"/>
    <s v="Gold"/>
    <x v="5"/>
  </r>
  <r>
    <s v="CUST037"/>
    <s v="Kinetix Systems"/>
    <s v="North"/>
    <s v="USA"/>
    <s v="Office Supplies"/>
    <x v="36"/>
    <d v="2023-05-05T00:00:00"/>
    <n v="215.25"/>
    <n v="10"/>
    <n v="28.5"/>
    <s v="Bronze"/>
    <x v="3"/>
  </r>
  <r>
    <s v="CUST038"/>
    <s v="Lumina Corp"/>
    <s v="South"/>
    <s v="USA"/>
    <s v="Furniture"/>
    <x v="37"/>
    <d v="2021-08-30T00:00:00"/>
    <n v="970.5"/>
    <n v="4"/>
    <n v="31.5"/>
    <s v="Silver"/>
    <x v="0"/>
  </r>
  <r>
    <s v="CUST039"/>
    <s v="Momentum LLC"/>
    <s v="West"/>
    <s v="USA"/>
    <s v="Electronics"/>
    <x v="38"/>
    <d v="2022-12-12T00:00:00"/>
    <n v="1740"/>
    <n v="6"/>
    <n v="37"/>
    <s v="Gold"/>
    <x v="1"/>
  </r>
  <r>
    <s v="CUST040"/>
    <s v="Nexus Innovations"/>
    <s v="East"/>
    <s v="Canada"/>
    <s v="Office Supplies"/>
    <x v="39"/>
    <d v="2023-10-18T00:00:00"/>
    <n v="225"/>
    <n v="11"/>
    <n v="27.5"/>
    <s v="Bronze"/>
    <x v="2"/>
  </r>
  <r>
    <s v="CUST041"/>
    <s v="Orbit Enterprises"/>
    <s v="North"/>
    <s v="USA"/>
    <s v="Furniture"/>
    <x v="40"/>
    <d v="2020-11-10T00:00:00"/>
    <n v="850.75"/>
    <n v="3"/>
    <n v="30.5"/>
    <s v="Silver"/>
    <x v="5"/>
  </r>
  <r>
    <s v="CUST042"/>
    <s v="Prime Dynamics"/>
    <s v="South"/>
    <s v="USA"/>
    <s v="Electronics"/>
    <x v="3"/>
    <d v="2021-06-22T00:00:00"/>
    <n v="2080"/>
    <n v="8"/>
    <n v="40"/>
    <s v="Gold"/>
    <x v="3"/>
  </r>
  <r>
    <s v="CUST043"/>
    <s v="Quantum Solutions"/>
    <s v="West"/>
    <s v="USA"/>
    <s v="Office Supplies"/>
    <x v="41"/>
    <d v="2023-01-30T00:00:00"/>
    <n v="190.25"/>
    <n v="9"/>
    <n v="26"/>
    <s v="Bronze"/>
    <x v="0"/>
  </r>
  <r>
    <s v="CUST044"/>
    <s v="Reliant Group"/>
    <s v="East"/>
    <s v="Canada"/>
    <s v="Furniture"/>
    <x v="7"/>
    <d v="2022-03-15T00:00:00"/>
    <n v="920"/>
    <n v="4"/>
    <n v="31"/>
    <s v="Silver"/>
    <x v="1"/>
  </r>
  <r>
    <s v="CUST045"/>
    <s v="Spectrum Tech"/>
    <s v="North"/>
    <s v="USA"/>
    <s v="Electronics"/>
    <x v="42"/>
    <d v="2021-10-05T00:00:00"/>
    <n v="1620"/>
    <n v="5"/>
    <n v="35"/>
    <s v="Silver"/>
    <x v="2"/>
  </r>
  <r>
    <s v="CUST046"/>
    <s v="Terra Systems"/>
    <s v="South"/>
    <s v="USA"/>
    <s v="Office Supplies"/>
    <x v="13"/>
    <d v="2023-07-25T00:00:00"/>
    <n v="240"/>
    <n v="10"/>
    <n v="28"/>
    <s v="Bronze"/>
    <x v="5"/>
  </r>
  <r>
    <s v="CUST047"/>
    <s v="Unity Networks"/>
    <s v="West"/>
    <s v="USA"/>
    <s v="Furniture"/>
    <x v="43"/>
    <d v="2020-08-20T00:00:00"/>
    <n v="790.5"/>
    <n v="2"/>
    <n v="29"/>
    <s v="Bronze"/>
    <x v="3"/>
  </r>
  <r>
    <s v="CUST048"/>
    <s v="Vantage Corp"/>
    <s v="East"/>
    <s v="Canada"/>
    <s v="Electronics"/>
    <x v="0"/>
    <d v="2022-09-08T00:00:00"/>
    <n v="1910"/>
    <n v="7"/>
    <n v="38.5"/>
    <s v="Gold"/>
    <x v="0"/>
  </r>
  <r>
    <s v="CUST049"/>
    <s v="Wave Technologies"/>
    <s v="North"/>
    <s v="USA"/>
    <s v="Office Supplies"/>
    <x v="44"/>
    <d v="2023-04-10T00:00:00"/>
    <n v="205.75"/>
    <n v="9"/>
    <n v="27.5"/>
    <s v="Bronze"/>
    <x v="1"/>
  </r>
  <r>
    <s v="CUST050"/>
    <s v="Zenith Solutions"/>
    <s v="South"/>
    <s v="USA"/>
    <s v="Electronics"/>
    <x v="9"/>
    <d v="2021-05-14T00:00:00"/>
    <n v="2250"/>
    <n v="9"/>
    <n v="42.5"/>
    <s v="Gold"/>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15E00A-A6F8-41B3-BC84-D2FC6D426943}" name="PivotTable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4:E8" firstHeaderRow="1" firstDataRow="2" firstDataCol="1" rowPageCount="1" colPageCount="1"/>
  <pivotFields count="5">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4">
    <i>
      <x/>
    </i>
    <i>
      <x v="1"/>
    </i>
    <i>
      <x v="2"/>
    </i>
    <i t="grand">
      <x/>
    </i>
  </colItems>
  <pageFields count="1">
    <pageField fld="0" hier="1" name="[Table1].[Customer Name].[All]" cap="All"/>
  </pageFields>
  <dataFields count="1">
    <dataField name="Sum of Sales Amount" fld="3"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s>
  <pivotHierarchies count="1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ECB91C-E762-403E-A566-A274A170BBEB}"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B8" firstHeaderRow="1" firstDataRow="1" firstDataCol="1"/>
  <pivotFields count="12">
    <pivotField showAll="0"/>
    <pivotField showAll="0"/>
    <pivotField showAll="0"/>
    <pivotField showAll="0"/>
    <pivotField showAll="0"/>
    <pivotField showAll="0">
      <items count="46">
        <item x="44"/>
        <item h="1" x="28"/>
        <item h="1" x="43"/>
        <item h="1" x="18"/>
        <item h="1" x="34"/>
        <item h="1" x="24"/>
        <item h="1" x="40"/>
        <item h="1" x="16"/>
        <item h="1" x="20"/>
        <item h="1" x="42"/>
        <item h="1" x="30"/>
        <item h="1" x="12"/>
        <item h="1" x="38"/>
        <item h="1" x="8"/>
        <item h="1" x="26"/>
        <item h="1" x="4"/>
        <item h="1" x="36"/>
        <item h="1" x="10"/>
        <item h="1" x="22"/>
        <item h="1" x="41"/>
        <item h="1" x="6"/>
        <item h="1" x="32"/>
        <item h="1" x="14"/>
        <item h="1" x="1"/>
        <item h="1" x="5"/>
        <item h="1" x="31"/>
        <item h="1" x="11"/>
        <item h="1" x="25"/>
        <item h="1" x="2"/>
        <item h="1" x="37"/>
        <item h="1" x="15"/>
        <item h="1" x="7"/>
        <item h="1" x="21"/>
        <item h="1" x="0"/>
        <item h="1" x="33"/>
        <item h="1" x="9"/>
        <item h="1" x="27"/>
        <item h="1" x="17"/>
        <item h="1" x="3"/>
        <item h="1" x="29"/>
        <item h="1" x="23"/>
        <item h="1" x="13"/>
        <item h="1" x="35"/>
        <item h="1" x="19"/>
        <item h="1" x="39"/>
        <item t="default"/>
      </items>
    </pivotField>
    <pivotField numFmtId="14" showAll="0"/>
    <pivotField dataField="1" showAll="0"/>
    <pivotField showAll="0"/>
    <pivotField showAll="0"/>
    <pivotField showAll="0"/>
    <pivotField axis="axisRow" showAll="0">
      <items count="7">
        <item x="4"/>
        <item x="5"/>
        <item x="0"/>
        <item x="1"/>
        <item x="2"/>
        <item x="3"/>
        <item t="default"/>
      </items>
    </pivotField>
  </pivotFields>
  <rowFields count="1">
    <field x="11"/>
  </rowFields>
  <rowItems count="7">
    <i>
      <x/>
    </i>
    <i>
      <x v="1"/>
    </i>
    <i>
      <x v="2"/>
    </i>
    <i>
      <x v="3"/>
    </i>
    <i>
      <x v="4"/>
    </i>
    <i>
      <x v="5"/>
    </i>
    <i t="grand">
      <x/>
    </i>
  </rowItems>
  <colItems count="1">
    <i/>
  </colItems>
  <dataFields count="1">
    <dataField name="Sum of Sales Amount" fld="7" baseField="0" baseItem="0" numFmtId="44"/>
  </dataFields>
  <formats count="2">
    <format dxfId="1">
      <pivotArea collapsedLevelsAreSubtotals="1" fieldPosition="0">
        <references count="1">
          <reference field="11" count="0"/>
        </references>
      </pivotArea>
    </format>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A50802-C579-44DC-A905-4FF883C92D60}" name="PivotTable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7" firstHeaderRow="1" firstDataRow="1" firstDataCol="1" rowPageCount="1" colPageCount="1"/>
  <pivotFields count="4">
    <pivotField axis="axisRow" allDrilled="1" subtotalTop="0" showAll="0" dataSourceSort="1" defaultSubtotal="0" defaultAttributeDrillState="1">
      <items count="3">
        <item x="0"/>
        <item x="1"/>
        <item x="2"/>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pageFields count="1">
    <pageField fld="2" hier="2" name="[Table1].[Region].[All]" cap="All"/>
  </pageFields>
  <dataFields count="1">
    <dataField name="Sum of Sales Amount" fld="1" baseField="0" baseItem="0"/>
  </dataFields>
  <chartFormats count="12">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1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FFFF4F-FFB2-417D-B58A-742E948EDE4C}" name="PivotTable3"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A3:B7" firstHeaderRow="1" firstDataRow="1" firstDataCol="1" rowPageCount="1" colPageCount="1"/>
  <pivotFields count="3">
    <pivotField axis="axisRow" allDrilled="1" subtotalTop="0" showAll="0" dataSourceSort="1" defaultSubtotal="0" defaultAttributeDrillState="1">
      <items count="3">
        <item x="0"/>
        <item x="1"/>
        <item x="2"/>
      </items>
    </pivotField>
    <pivotField dataField="1" subtotalTop="0" showAll="0" defaultSubtotal="0"/>
    <pivotField axis="axisPage" allDrilled="1" subtotalTop="0" showAll="0" dataSourceSort="1" defaultSubtotal="0" defaultAttributeDrillState="1"/>
  </pivotFields>
  <rowFields count="1">
    <field x="0"/>
  </rowFields>
  <rowItems count="4">
    <i>
      <x/>
    </i>
    <i>
      <x v="1"/>
    </i>
    <i>
      <x v="2"/>
    </i>
    <i t="grand">
      <x/>
    </i>
  </rowItems>
  <colItems count="1">
    <i/>
  </colItems>
  <pageFields count="1">
    <pageField fld="2" hier="3" name="[Table1].[Country].[All]" cap="All"/>
  </pageFields>
  <dataFields count="1">
    <dataField name="Sum of Order Quantity"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DB88F3-B713-4287-A11F-5473FE069FDC}"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B8" firstHeaderRow="1" firstDataRow="1" firstDataCol="1"/>
  <pivotFields count="3">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i>
    <i>
      <x v="1"/>
    </i>
    <i>
      <x v="5"/>
    </i>
    <i>
      <x v="3"/>
    </i>
    <i>
      <x v="2"/>
    </i>
    <i>
      <x v="4"/>
    </i>
    <i t="grand">
      <x/>
    </i>
  </rowItems>
  <colItems count="1">
    <i/>
  </colItems>
  <dataFields count="1">
    <dataField name="Sum of Profit Margin %"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1" xr10:uid="{938A34DB-3CBB-4D89-A5A8-910E1BB69149}" sourceName="[Table1].[Order Date]">
  <pivotTables>
    <pivotTable tabId="5" name="PivotTable3"/>
    <pivotTable tabId="8" name="PivotTable6"/>
    <pivotTable tabId="9" name="PivotTable7"/>
    <pivotTable tabId="4" name="PivotTable2"/>
  </pivotTables>
  <data>
    <olap pivotCacheId="1051933782">
      <levels count="2">
        <level uniqueName="[Table1].[Order Date].[(All)]" sourceCaption="(All)" count="0"/>
        <level uniqueName="[Table1].[Order Date].[Order Date]" sourceCaption="Order Date" count="45">
          <ranges>
            <range startItem="0">
              <i n="[Table1].[Order Date].&amp;[2/1/2025]" c="2/1/2025"/>
              <i n="[Table1].[Order Date].&amp;[2/10/2025]" c="2/10/2025"/>
              <i n="[Table1].[Order Date].&amp;[2/12/2025]" c="2/12/2025"/>
              <i n="[Table1].[Order Date].&amp;[2/13/2025]" c="2/13/2025"/>
              <i n="[Table1].[Order Date].&amp;[2/14/2025]" c="2/14/2025"/>
              <i n="[Table1].[Order Date].&amp;[2/15/2025]" c="2/15/2025"/>
              <i n="[Table1].[Order Date].&amp;[2/17/2025]" c="2/17/2025"/>
              <i n="[Table1].[Order Date].&amp;[2/18/2025]" c="2/18/2025"/>
              <i n="[Table1].[Order Date].&amp;[2/19/2025]" c="2/19/2025"/>
              <i n="[Table1].[Order Date].&amp;[2/20/2025]" c="2/20/2025"/>
              <i n="[Table1].[Order Date].&amp;[2/21/2025]" c="2/21/2025"/>
              <i n="[Table1].[Order Date].&amp;[2/22/2025]" c="2/22/2025"/>
              <i n="[Table1].[Order Date].&amp;[2/23/2025]" c="2/23/2025"/>
              <i n="[Table1].[Order Date].&amp;[2/24/2025]" c="2/24/2025"/>
              <i n="[Table1].[Order Date].&amp;[2/25/2025]" c="2/25/2025"/>
              <i n="[Table1].[Order Date].&amp;[2/26/2025]" c="2/26/2025"/>
              <i n="[Table1].[Order Date].&amp;[2/27/2025]" c="2/27/2025"/>
              <i n="[Table1].[Order Date].&amp;[2/28/2025]" c="2/28/2025"/>
              <i n="[Table1].[Order Date].&amp;[2/3/2025]" c="2/3/2025"/>
              <i n="[Table1].[Order Date].&amp;[2/5/2025]" c="2/5/2025"/>
              <i n="[Table1].[Order Date].&amp;[2/7/2025]" c="2/7/2025"/>
              <i n="[Table1].[Order Date].&amp;[2/8/2025]" c="2/8/2025"/>
              <i n="[Table1].[Order Date].&amp;[2/9/2025]" c="2/9/2025"/>
              <i n="[Table1].[Order Date].&amp;[2025-02-29]" c="2025-02-29"/>
              <i n="[Table1].[Order Date].&amp;[3/1/2025]" c="3/1/2025"/>
              <i n="[Table1].[Order Date].&amp;[3/10/2025]" c="3/10/2025"/>
              <i n="[Table1].[Order Date].&amp;[3/11/2025]" c="3/11/2025"/>
              <i n="[Table1].[Order Date].&amp;[3/12/2025]" c="3/12/2025"/>
              <i n="[Table1].[Order Date].&amp;[3/13/2025]" c="3/13/2025"/>
              <i n="[Table1].[Order Date].&amp;[3/14/2025]" c="3/14/2025"/>
              <i n="[Table1].[Order Date].&amp;[3/15/2025]" c="3/15/2025"/>
              <i n="[Table1].[Order Date].&amp;[3/16/2025]" c="3/16/2025"/>
              <i n="[Table1].[Order Date].&amp;[3/17/2025]" c="3/17/2025"/>
              <i n="[Table1].[Order Date].&amp;[3/18/2025]" c="3/18/2025"/>
              <i n="[Table1].[Order Date].&amp;[3/19/2025]" c="3/19/2025"/>
              <i n="[Table1].[Order Date].&amp;[3/2/2025]" c="3/2/2025"/>
              <i n="[Table1].[Order Date].&amp;[3/20/2025]" c="3/20/2025"/>
              <i n="[Table1].[Order Date].&amp;[3/21/2025]" c="3/21/2025"/>
              <i n="[Table1].[Order Date].&amp;[3/3/2025]" c="3/3/2025"/>
              <i n="[Table1].[Order Date].&amp;[3/4/2025]" c="3/4/2025"/>
              <i n="[Table1].[Order Date].&amp;[3/5/2025]" c="3/5/2025"/>
              <i n="[Table1].[Order Date].&amp;[3/6/2025]" c="3/6/2025"/>
              <i n="[Table1].[Order Date].&amp;[3/7/2025]" c="3/7/2025"/>
              <i n="[Table1].[Order Date].&amp;[3/8/2025]" c="3/8/2025"/>
              <i n="[Table1].[Order Date].&amp;[3/9/2025]" c="3/9/2025"/>
            </range>
          </ranges>
        </level>
      </levels>
      <selections count="1">
        <selection n="[Table1].[Order 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3" xr10:uid="{64A4C0A0-BF3B-47A7-8418-365BA7D29FC9}" cache="Slicer_Order_Date1" caption="Order Date" showCaption="0"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9954DD-FE51-4C18-8C6C-DEA558C3D9BE}" name="Table1" displayName="Table1" ref="A1:L51" totalsRowShown="0">
  <autoFilter ref="A1:L51" xr:uid="{F19954DD-FE51-4C18-8C6C-DEA558C3D9BE}"/>
  <tableColumns count="12">
    <tableColumn id="1" xr3:uid="{7A9460EB-3AB2-4F88-B64B-4F616558F920}" name="Customer ID"/>
    <tableColumn id="2" xr3:uid="{83F1E2D4-A208-4866-8D5B-2C77B6A4C767}" name="Customer Name"/>
    <tableColumn id="3" xr3:uid="{1E0FA92B-C692-4E66-8648-D75E86330D59}" name="Region"/>
    <tableColumn id="4" xr3:uid="{7E1434C5-B84E-453A-A63F-D8F5CC20CEBD}" name="Country"/>
    <tableColumn id="5" xr3:uid="{D5B01D10-C8E3-4DA6-80B3-3024E25A4C23}" name="Product Category"/>
    <tableColumn id="6" xr3:uid="{38DDE57C-79A9-47C6-B1DD-4865DBBDD5C2}" name="Order Date" dataDxfId="3"/>
    <tableColumn id="7" xr3:uid="{9E46CAE3-0809-461B-866C-B4F07D62BED8}" name="Customer Since" dataDxfId="2"/>
    <tableColumn id="8" xr3:uid="{25FA4A83-355C-4448-AB79-79484D77C5AA}" name="Sales Amount"/>
    <tableColumn id="9" xr3:uid="{381004FD-B960-438B-8A40-8F2CAD38425F}" name="Order Quantity"/>
    <tableColumn id="10" xr3:uid="{078B6D60-ED97-49C6-8EFF-3198813EA98C}" name="Profit Margin %"/>
    <tableColumn id="11" xr3:uid="{CC618083-3CA2-4D1A-A9A9-00FE868AE5C0}" name="Customer Tier"/>
    <tableColumn id="12" xr3:uid="{53A45259-03EE-45BD-80C1-F9EA4FB1ECA4}" name="Sales Re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40D83-4166-4A79-9CCB-9987AFE0AB5E}">
  <dimension ref="A1:L51"/>
  <sheetViews>
    <sheetView workbookViewId="0">
      <selection activeCell="H1" sqref="H1"/>
    </sheetView>
  </sheetViews>
  <sheetFormatPr defaultRowHeight="14.5" x14ac:dyDescent="0.35"/>
  <cols>
    <col min="1" max="1" width="13.26953125" customWidth="1"/>
    <col min="2" max="2" width="17" bestFit="1" customWidth="1"/>
    <col min="3" max="3" width="8.453125" customWidth="1"/>
    <col min="4" max="4" width="9.54296875" customWidth="1"/>
    <col min="5" max="5" width="17.36328125" customWidth="1"/>
    <col min="6" max="6" width="12.1796875" customWidth="1"/>
    <col min="7" max="7" width="15.7265625" customWidth="1"/>
    <col min="8" max="8" width="14.26953125" customWidth="1"/>
    <col min="9" max="9" width="15.54296875" customWidth="1"/>
    <col min="10" max="10" width="15.81640625" customWidth="1"/>
    <col min="11" max="11" width="14.6328125" customWidth="1"/>
    <col min="12" max="12" width="12.54296875"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E2" t="s">
        <v>16</v>
      </c>
      <c r="F2" s="1">
        <v>45726</v>
      </c>
      <c r="G2" s="1">
        <v>44727</v>
      </c>
      <c r="H2">
        <v>1420</v>
      </c>
      <c r="I2">
        <v>6</v>
      </c>
      <c r="J2">
        <v>38.5</v>
      </c>
      <c r="K2" t="s">
        <v>17</v>
      </c>
      <c r="L2" t="s">
        <v>18</v>
      </c>
    </row>
    <row r="3" spans="1:12" x14ac:dyDescent="0.35">
      <c r="A3" t="s">
        <v>19</v>
      </c>
      <c r="B3" t="s">
        <v>20</v>
      </c>
      <c r="C3" t="s">
        <v>21</v>
      </c>
      <c r="D3" t="s">
        <v>15</v>
      </c>
      <c r="E3" t="s">
        <v>22</v>
      </c>
      <c r="F3" s="1">
        <v>45716</v>
      </c>
      <c r="G3" s="1">
        <v>44936</v>
      </c>
      <c r="H3">
        <v>320.5</v>
      </c>
      <c r="I3">
        <v>12</v>
      </c>
      <c r="J3">
        <v>32</v>
      </c>
      <c r="K3" t="s">
        <v>23</v>
      </c>
      <c r="L3" t="s">
        <v>24</v>
      </c>
    </row>
    <row r="4" spans="1:12" x14ac:dyDescent="0.35">
      <c r="A4" t="s">
        <v>25</v>
      </c>
      <c r="B4" t="s">
        <v>26</v>
      </c>
      <c r="C4" t="s">
        <v>27</v>
      </c>
      <c r="D4" t="s">
        <v>15</v>
      </c>
      <c r="E4" t="s">
        <v>28</v>
      </c>
      <c r="F4" s="1">
        <v>45721</v>
      </c>
      <c r="G4" s="1">
        <v>44522</v>
      </c>
      <c r="H4">
        <v>890.75</v>
      </c>
      <c r="I4">
        <v>3</v>
      </c>
      <c r="J4">
        <v>30.5</v>
      </c>
      <c r="K4" t="s">
        <v>23</v>
      </c>
      <c r="L4" t="s">
        <v>29</v>
      </c>
    </row>
    <row r="5" spans="1:12" x14ac:dyDescent="0.35">
      <c r="A5" t="s">
        <v>30</v>
      </c>
      <c r="B5" t="s">
        <v>31</v>
      </c>
      <c r="C5" t="s">
        <v>32</v>
      </c>
      <c r="D5" t="s">
        <v>33</v>
      </c>
      <c r="E5" t="s">
        <v>16</v>
      </c>
      <c r="F5" s="1">
        <v>45731</v>
      </c>
      <c r="G5" s="1">
        <v>44048</v>
      </c>
      <c r="H5">
        <v>2100</v>
      </c>
      <c r="I5">
        <v>7</v>
      </c>
      <c r="J5">
        <v>41</v>
      </c>
      <c r="K5" t="s">
        <v>17</v>
      </c>
      <c r="L5" t="s">
        <v>34</v>
      </c>
    </row>
    <row r="6" spans="1:12" x14ac:dyDescent="0.35">
      <c r="A6" t="s">
        <v>35</v>
      </c>
      <c r="B6" t="s">
        <v>36</v>
      </c>
      <c r="C6" t="s">
        <v>14</v>
      </c>
      <c r="D6" t="s">
        <v>15</v>
      </c>
      <c r="E6" t="s">
        <v>22</v>
      </c>
      <c r="F6" s="1">
        <v>45708</v>
      </c>
      <c r="G6" s="1">
        <v>45064</v>
      </c>
      <c r="H6">
        <v>150.25</v>
      </c>
      <c r="I6">
        <v>8</v>
      </c>
      <c r="J6">
        <v>28</v>
      </c>
      <c r="K6" t="s">
        <v>37</v>
      </c>
      <c r="L6" t="s">
        <v>38</v>
      </c>
    </row>
    <row r="7" spans="1:12" x14ac:dyDescent="0.35">
      <c r="A7" t="s">
        <v>39</v>
      </c>
      <c r="B7" t="s">
        <v>40</v>
      </c>
      <c r="C7" t="s">
        <v>21</v>
      </c>
      <c r="D7" t="s">
        <v>15</v>
      </c>
      <c r="E7" t="s">
        <v>28</v>
      </c>
      <c r="F7" s="1">
        <v>45717</v>
      </c>
      <c r="G7" s="1">
        <v>44834</v>
      </c>
      <c r="H7">
        <v>675</v>
      </c>
      <c r="I7">
        <v>2</v>
      </c>
      <c r="J7">
        <v>29.5</v>
      </c>
      <c r="K7" t="s">
        <v>37</v>
      </c>
      <c r="L7" t="s">
        <v>41</v>
      </c>
    </row>
    <row r="8" spans="1:12" x14ac:dyDescent="0.35">
      <c r="A8" t="s">
        <v>42</v>
      </c>
      <c r="B8" t="s">
        <v>43</v>
      </c>
      <c r="C8" t="s">
        <v>27</v>
      </c>
      <c r="D8" t="s">
        <v>15</v>
      </c>
      <c r="E8" t="s">
        <v>16</v>
      </c>
      <c r="F8" s="1">
        <v>45713</v>
      </c>
      <c r="G8" s="1">
        <v>44267</v>
      </c>
      <c r="H8">
        <v>950</v>
      </c>
      <c r="I8">
        <v>4</v>
      </c>
      <c r="J8">
        <v>36</v>
      </c>
      <c r="K8" t="s">
        <v>23</v>
      </c>
      <c r="L8" t="s">
        <v>18</v>
      </c>
    </row>
    <row r="9" spans="1:12" x14ac:dyDescent="0.35">
      <c r="A9" t="s">
        <v>44</v>
      </c>
      <c r="B9" t="s">
        <v>45</v>
      </c>
      <c r="C9" t="s">
        <v>32</v>
      </c>
      <c r="D9" t="s">
        <v>33</v>
      </c>
      <c r="E9" t="s">
        <v>22</v>
      </c>
      <c r="F9" s="1">
        <v>45724</v>
      </c>
      <c r="G9" s="1">
        <v>45121</v>
      </c>
      <c r="H9">
        <v>210</v>
      </c>
      <c r="I9">
        <v>10</v>
      </c>
      <c r="J9">
        <v>27.5</v>
      </c>
      <c r="K9" t="s">
        <v>37</v>
      </c>
      <c r="L9" t="s">
        <v>34</v>
      </c>
    </row>
    <row r="10" spans="1:12" x14ac:dyDescent="0.35">
      <c r="A10" t="s">
        <v>46</v>
      </c>
      <c r="B10" t="s">
        <v>47</v>
      </c>
      <c r="C10" t="s">
        <v>14</v>
      </c>
      <c r="D10" t="s">
        <v>15</v>
      </c>
      <c r="E10" t="s">
        <v>28</v>
      </c>
      <c r="F10" s="1">
        <v>45706</v>
      </c>
      <c r="G10" s="1">
        <v>44166</v>
      </c>
      <c r="H10">
        <v>1320</v>
      </c>
      <c r="I10">
        <v>5</v>
      </c>
      <c r="J10">
        <v>33</v>
      </c>
      <c r="K10" t="s">
        <v>23</v>
      </c>
      <c r="L10" t="s">
        <v>29</v>
      </c>
    </row>
    <row r="11" spans="1:12" x14ac:dyDescent="0.35">
      <c r="A11" t="s">
        <v>48</v>
      </c>
      <c r="B11" t="s">
        <v>49</v>
      </c>
      <c r="C11" t="s">
        <v>21</v>
      </c>
      <c r="D11" t="s">
        <v>15</v>
      </c>
      <c r="E11" t="s">
        <v>16</v>
      </c>
      <c r="F11" s="1">
        <v>45728</v>
      </c>
      <c r="G11" s="1">
        <v>44620</v>
      </c>
      <c r="H11">
        <v>1750</v>
      </c>
      <c r="I11">
        <v>6</v>
      </c>
      <c r="J11">
        <v>40</v>
      </c>
      <c r="K11" t="s">
        <v>17</v>
      </c>
      <c r="L11" t="s">
        <v>24</v>
      </c>
    </row>
    <row r="12" spans="1:12" x14ac:dyDescent="0.35">
      <c r="A12" t="s">
        <v>50</v>
      </c>
      <c r="B12" t="s">
        <v>51</v>
      </c>
      <c r="C12" t="s">
        <v>27</v>
      </c>
      <c r="D12" t="s">
        <v>15</v>
      </c>
      <c r="E12" t="s">
        <v>22</v>
      </c>
      <c r="F12" s="1">
        <v>45710</v>
      </c>
      <c r="G12" s="1">
        <v>45204</v>
      </c>
      <c r="H12">
        <v>185.75</v>
      </c>
      <c r="I12">
        <v>9</v>
      </c>
      <c r="J12">
        <v>26.5</v>
      </c>
      <c r="K12" t="s">
        <v>37</v>
      </c>
      <c r="L12" t="s">
        <v>41</v>
      </c>
    </row>
    <row r="13" spans="1:12" x14ac:dyDescent="0.35">
      <c r="A13" t="s">
        <v>52</v>
      </c>
      <c r="B13" t="s">
        <v>53</v>
      </c>
      <c r="C13" t="s">
        <v>32</v>
      </c>
      <c r="D13" t="s">
        <v>33</v>
      </c>
      <c r="E13" t="s">
        <v>28</v>
      </c>
      <c r="F13" s="1">
        <v>45719</v>
      </c>
      <c r="G13" s="1">
        <v>44396</v>
      </c>
      <c r="H13">
        <v>980.5</v>
      </c>
      <c r="I13">
        <v>4</v>
      </c>
      <c r="J13">
        <v>31.5</v>
      </c>
      <c r="K13" t="s">
        <v>23</v>
      </c>
      <c r="L13" t="s">
        <v>34</v>
      </c>
    </row>
    <row r="14" spans="1:12" x14ac:dyDescent="0.35">
      <c r="A14" t="s">
        <v>54</v>
      </c>
      <c r="B14" t="s">
        <v>55</v>
      </c>
      <c r="C14" t="s">
        <v>14</v>
      </c>
      <c r="D14" t="s">
        <v>15</v>
      </c>
      <c r="E14" t="s">
        <v>16</v>
      </c>
      <c r="F14" s="1">
        <v>45703</v>
      </c>
      <c r="G14" s="1">
        <v>44876</v>
      </c>
      <c r="H14">
        <v>1680</v>
      </c>
      <c r="I14">
        <v>5</v>
      </c>
      <c r="J14">
        <v>39</v>
      </c>
      <c r="K14" t="s">
        <v>17</v>
      </c>
      <c r="L14" t="s">
        <v>18</v>
      </c>
    </row>
    <row r="15" spans="1:12" x14ac:dyDescent="0.35">
      <c r="A15" t="s">
        <v>56</v>
      </c>
      <c r="B15" t="s">
        <v>57</v>
      </c>
      <c r="C15" t="s">
        <v>21</v>
      </c>
      <c r="D15" t="s">
        <v>15</v>
      </c>
      <c r="E15" t="s">
        <v>22</v>
      </c>
      <c r="F15" s="1">
        <v>45734</v>
      </c>
      <c r="G15" s="1">
        <v>45038</v>
      </c>
      <c r="H15">
        <v>295</v>
      </c>
      <c r="I15">
        <v>11</v>
      </c>
      <c r="J15">
        <v>28.5</v>
      </c>
      <c r="K15" t="s">
        <v>37</v>
      </c>
      <c r="L15" t="s">
        <v>24</v>
      </c>
    </row>
    <row r="16" spans="1:12" x14ac:dyDescent="0.35">
      <c r="A16" t="s">
        <v>58</v>
      </c>
      <c r="B16" t="s">
        <v>59</v>
      </c>
      <c r="C16" t="s">
        <v>27</v>
      </c>
      <c r="D16" t="s">
        <v>15</v>
      </c>
      <c r="E16" t="s">
        <v>16</v>
      </c>
      <c r="F16" s="1">
        <v>45715</v>
      </c>
      <c r="G16" s="1">
        <v>44226</v>
      </c>
      <c r="H16">
        <v>2200</v>
      </c>
      <c r="I16">
        <v>8</v>
      </c>
      <c r="J16">
        <v>42</v>
      </c>
      <c r="K16" t="s">
        <v>17</v>
      </c>
      <c r="L16" t="s">
        <v>29</v>
      </c>
    </row>
    <row r="17" spans="1:12" x14ac:dyDescent="0.35">
      <c r="A17" t="s">
        <v>60</v>
      </c>
      <c r="B17" t="s">
        <v>61</v>
      </c>
      <c r="C17" t="s">
        <v>32</v>
      </c>
      <c r="D17" t="s">
        <v>33</v>
      </c>
      <c r="E17" t="s">
        <v>28</v>
      </c>
      <c r="F17" s="1">
        <v>45723</v>
      </c>
      <c r="G17" s="1">
        <v>44787</v>
      </c>
      <c r="H17">
        <v>760.25</v>
      </c>
      <c r="I17">
        <v>3</v>
      </c>
      <c r="J17">
        <v>30</v>
      </c>
      <c r="K17" t="s">
        <v>23</v>
      </c>
      <c r="L17" t="s">
        <v>41</v>
      </c>
    </row>
    <row r="18" spans="1:12" x14ac:dyDescent="0.35">
      <c r="A18" t="s">
        <v>62</v>
      </c>
      <c r="B18" t="s">
        <v>63</v>
      </c>
      <c r="C18" t="s">
        <v>14</v>
      </c>
      <c r="D18" t="s">
        <v>33</v>
      </c>
      <c r="E18" t="s">
        <v>22</v>
      </c>
      <c r="F18" s="1">
        <v>45698</v>
      </c>
      <c r="G18" s="1">
        <v>45261</v>
      </c>
      <c r="H18">
        <v>210</v>
      </c>
      <c r="I18">
        <v>10</v>
      </c>
      <c r="J18">
        <v>27</v>
      </c>
      <c r="K18" t="s">
        <v>37</v>
      </c>
      <c r="L18" t="s">
        <v>34</v>
      </c>
    </row>
    <row r="19" spans="1:12" x14ac:dyDescent="0.35">
      <c r="A19" t="s">
        <v>64</v>
      </c>
      <c r="B19" t="s">
        <v>65</v>
      </c>
      <c r="C19" t="s">
        <v>21</v>
      </c>
      <c r="D19" t="s">
        <v>15</v>
      </c>
      <c r="E19" t="s">
        <v>16</v>
      </c>
      <c r="F19" s="1">
        <v>45730</v>
      </c>
      <c r="G19" s="1">
        <v>44119</v>
      </c>
      <c r="H19">
        <v>1930</v>
      </c>
      <c r="I19">
        <v>7</v>
      </c>
      <c r="J19">
        <v>37.5</v>
      </c>
      <c r="K19" t="s">
        <v>17</v>
      </c>
      <c r="L19" t="s">
        <v>24</v>
      </c>
    </row>
    <row r="20" spans="1:12" x14ac:dyDescent="0.35">
      <c r="A20" t="s">
        <v>66</v>
      </c>
      <c r="B20" t="s">
        <v>67</v>
      </c>
      <c r="C20" t="s">
        <v>27</v>
      </c>
      <c r="D20" t="s">
        <v>15</v>
      </c>
      <c r="E20" t="s">
        <v>28</v>
      </c>
      <c r="F20" s="1">
        <v>45693</v>
      </c>
      <c r="G20" s="1">
        <v>44701</v>
      </c>
      <c r="H20">
        <v>840</v>
      </c>
      <c r="I20">
        <v>2</v>
      </c>
      <c r="J20">
        <v>29</v>
      </c>
      <c r="K20" t="s">
        <v>37</v>
      </c>
      <c r="L20" t="s">
        <v>18</v>
      </c>
    </row>
    <row r="21" spans="1:12" x14ac:dyDescent="0.35">
      <c r="A21" t="s">
        <v>68</v>
      </c>
      <c r="B21" t="s">
        <v>69</v>
      </c>
      <c r="C21" t="s">
        <v>32</v>
      </c>
      <c r="D21" t="s">
        <v>33</v>
      </c>
      <c r="E21" t="s">
        <v>22</v>
      </c>
      <c r="F21" s="1">
        <v>45736</v>
      </c>
      <c r="G21" s="1">
        <v>44985</v>
      </c>
      <c r="H21">
        <v>175.5</v>
      </c>
      <c r="I21">
        <v>8</v>
      </c>
      <c r="J21">
        <v>26</v>
      </c>
      <c r="K21" t="s">
        <v>37</v>
      </c>
      <c r="L21" t="s">
        <v>34</v>
      </c>
    </row>
    <row r="22" spans="1:12" x14ac:dyDescent="0.35">
      <c r="A22" t="s">
        <v>70</v>
      </c>
      <c r="B22" t="s">
        <v>71</v>
      </c>
      <c r="C22" t="s">
        <v>14</v>
      </c>
      <c r="D22" t="s">
        <v>15</v>
      </c>
      <c r="E22" t="s">
        <v>16</v>
      </c>
      <c r="F22" s="1">
        <v>45700</v>
      </c>
      <c r="G22" s="1">
        <v>44449</v>
      </c>
      <c r="H22">
        <v>1560</v>
      </c>
      <c r="I22">
        <v>6</v>
      </c>
      <c r="J22">
        <v>35.5</v>
      </c>
      <c r="K22" t="s">
        <v>23</v>
      </c>
      <c r="L22" t="s">
        <v>29</v>
      </c>
    </row>
    <row r="23" spans="1:12" x14ac:dyDescent="0.35">
      <c r="A23" t="s">
        <v>72</v>
      </c>
      <c r="B23" t="s">
        <v>73</v>
      </c>
      <c r="C23" t="s">
        <v>21</v>
      </c>
      <c r="D23" t="s">
        <v>15</v>
      </c>
      <c r="E23" t="s">
        <v>22</v>
      </c>
      <c r="F23" s="1">
        <v>45725</v>
      </c>
      <c r="G23" s="1">
        <v>45094</v>
      </c>
      <c r="H23">
        <v>230.25</v>
      </c>
      <c r="I23">
        <v>9</v>
      </c>
      <c r="J23">
        <v>28</v>
      </c>
      <c r="K23" t="s">
        <v>37</v>
      </c>
      <c r="L23" t="s">
        <v>41</v>
      </c>
    </row>
    <row r="24" spans="1:12" x14ac:dyDescent="0.35">
      <c r="A24" t="s">
        <v>74</v>
      </c>
      <c r="B24" t="s">
        <v>75</v>
      </c>
      <c r="C24" t="s">
        <v>27</v>
      </c>
      <c r="D24" t="s">
        <v>15</v>
      </c>
      <c r="E24" t="s">
        <v>28</v>
      </c>
      <c r="F24" s="1">
        <v>45711</v>
      </c>
      <c r="G24" s="1">
        <v>44020</v>
      </c>
      <c r="H24">
        <v>1020</v>
      </c>
      <c r="I24">
        <v>5</v>
      </c>
      <c r="J24">
        <v>32.5</v>
      </c>
      <c r="K24" t="s">
        <v>23</v>
      </c>
      <c r="L24" t="s">
        <v>18</v>
      </c>
    </row>
    <row r="25" spans="1:12" x14ac:dyDescent="0.35">
      <c r="A25" t="s">
        <v>76</v>
      </c>
      <c r="B25" t="s">
        <v>77</v>
      </c>
      <c r="C25" t="s">
        <v>32</v>
      </c>
      <c r="D25" t="s">
        <v>33</v>
      </c>
      <c r="E25" t="s">
        <v>16</v>
      </c>
      <c r="F25" s="1">
        <v>45733</v>
      </c>
      <c r="G25" s="1">
        <v>44586</v>
      </c>
      <c r="H25">
        <v>2050</v>
      </c>
      <c r="I25">
        <v>9</v>
      </c>
      <c r="J25">
        <v>40.5</v>
      </c>
      <c r="K25" t="s">
        <v>17</v>
      </c>
      <c r="L25" t="s">
        <v>24</v>
      </c>
    </row>
    <row r="26" spans="1:12" x14ac:dyDescent="0.35">
      <c r="A26" t="s">
        <v>78</v>
      </c>
      <c r="B26" t="s">
        <v>79</v>
      </c>
      <c r="C26" t="s">
        <v>14</v>
      </c>
      <c r="D26" t="s">
        <v>15</v>
      </c>
      <c r="E26" t="s">
        <v>22</v>
      </c>
      <c r="F26" s="1">
        <v>45696</v>
      </c>
      <c r="G26" s="1">
        <v>45168</v>
      </c>
      <c r="H26">
        <v>195</v>
      </c>
      <c r="I26">
        <v>10</v>
      </c>
      <c r="J26">
        <v>27.5</v>
      </c>
      <c r="K26" t="s">
        <v>37</v>
      </c>
      <c r="L26" t="s">
        <v>29</v>
      </c>
    </row>
    <row r="27" spans="1:12" x14ac:dyDescent="0.35">
      <c r="A27" t="s">
        <v>80</v>
      </c>
      <c r="B27" t="s">
        <v>81</v>
      </c>
      <c r="C27" t="s">
        <v>21</v>
      </c>
      <c r="D27" t="s">
        <v>15</v>
      </c>
      <c r="E27" t="s">
        <v>28</v>
      </c>
      <c r="F27" s="1">
        <v>45720</v>
      </c>
      <c r="G27" s="1">
        <v>44298</v>
      </c>
      <c r="H27">
        <v>890</v>
      </c>
      <c r="I27">
        <v>3</v>
      </c>
      <c r="J27">
        <v>31</v>
      </c>
      <c r="K27" t="s">
        <v>23</v>
      </c>
      <c r="L27" t="s">
        <v>41</v>
      </c>
    </row>
    <row r="28" spans="1:12" x14ac:dyDescent="0.35">
      <c r="A28" t="s">
        <v>82</v>
      </c>
      <c r="B28" t="s">
        <v>83</v>
      </c>
      <c r="C28" t="s">
        <v>27</v>
      </c>
      <c r="D28" t="s">
        <v>15</v>
      </c>
      <c r="E28" t="s">
        <v>16</v>
      </c>
      <c r="F28" s="1">
        <v>45707</v>
      </c>
      <c r="G28" s="1">
        <v>44839</v>
      </c>
      <c r="H28">
        <v>1820</v>
      </c>
      <c r="I28">
        <v>7</v>
      </c>
      <c r="J28">
        <v>38</v>
      </c>
      <c r="K28" t="s">
        <v>17</v>
      </c>
      <c r="L28" t="s">
        <v>34</v>
      </c>
    </row>
    <row r="29" spans="1:12" x14ac:dyDescent="0.35">
      <c r="A29" t="s">
        <v>84</v>
      </c>
      <c r="B29" t="s">
        <v>85</v>
      </c>
      <c r="C29" t="s">
        <v>32</v>
      </c>
      <c r="D29" t="s">
        <v>33</v>
      </c>
      <c r="E29" t="s">
        <v>22</v>
      </c>
      <c r="F29" s="1">
        <v>45729</v>
      </c>
      <c r="G29" s="1">
        <v>45250</v>
      </c>
      <c r="H29">
        <v>265.75</v>
      </c>
      <c r="I29">
        <v>12</v>
      </c>
      <c r="J29">
        <v>29</v>
      </c>
      <c r="K29" t="s">
        <v>37</v>
      </c>
      <c r="L29" t="s">
        <v>18</v>
      </c>
    </row>
    <row r="30" spans="1:12" x14ac:dyDescent="0.35">
      <c r="A30" t="s">
        <v>86</v>
      </c>
      <c r="B30" t="s">
        <v>87</v>
      </c>
      <c r="C30" t="s">
        <v>14</v>
      </c>
      <c r="D30" t="s">
        <v>15</v>
      </c>
      <c r="E30" t="s">
        <v>28</v>
      </c>
      <c r="F30" s="1">
        <v>45689</v>
      </c>
      <c r="G30" s="1">
        <v>43970</v>
      </c>
      <c r="H30">
        <v>740.5</v>
      </c>
      <c r="I30">
        <v>2</v>
      </c>
      <c r="J30">
        <v>30</v>
      </c>
      <c r="K30" t="s">
        <v>23</v>
      </c>
      <c r="L30" t="s">
        <v>24</v>
      </c>
    </row>
    <row r="31" spans="1:12" x14ac:dyDescent="0.35">
      <c r="A31" t="s">
        <v>88</v>
      </c>
      <c r="B31" t="s">
        <v>89</v>
      </c>
      <c r="C31" t="s">
        <v>21</v>
      </c>
      <c r="D31" t="s">
        <v>15</v>
      </c>
      <c r="E31" t="s">
        <v>16</v>
      </c>
      <c r="F31" s="1">
        <v>45732</v>
      </c>
      <c r="G31" s="1">
        <v>44537</v>
      </c>
      <c r="H31">
        <v>2150</v>
      </c>
      <c r="I31">
        <v>8</v>
      </c>
      <c r="J31">
        <v>41.5</v>
      </c>
      <c r="K31" t="s">
        <v>17</v>
      </c>
      <c r="L31" t="s">
        <v>29</v>
      </c>
    </row>
    <row r="32" spans="1:12" x14ac:dyDescent="0.35">
      <c r="A32" t="s">
        <v>90</v>
      </c>
      <c r="B32" t="s">
        <v>91</v>
      </c>
      <c r="C32" t="s">
        <v>27</v>
      </c>
      <c r="D32" t="s">
        <v>15</v>
      </c>
      <c r="E32" t="s">
        <v>22</v>
      </c>
      <c r="F32" s="1">
        <v>45702</v>
      </c>
      <c r="G32" s="1">
        <v>45183</v>
      </c>
      <c r="H32">
        <v>200</v>
      </c>
      <c r="I32">
        <v>9</v>
      </c>
      <c r="J32">
        <v>26.5</v>
      </c>
      <c r="K32" t="s">
        <v>37</v>
      </c>
      <c r="L32" t="s">
        <v>41</v>
      </c>
    </row>
    <row r="33" spans="1:12" x14ac:dyDescent="0.35">
      <c r="A33" t="s">
        <v>92</v>
      </c>
      <c r="B33" t="s">
        <v>93</v>
      </c>
      <c r="C33" t="s">
        <v>32</v>
      </c>
      <c r="D33" t="s">
        <v>33</v>
      </c>
      <c r="E33" t="s">
        <v>28</v>
      </c>
      <c r="F33" s="1">
        <v>45718</v>
      </c>
      <c r="G33" s="1">
        <v>44763</v>
      </c>
      <c r="H33">
        <v>930.25</v>
      </c>
      <c r="I33">
        <v>4</v>
      </c>
      <c r="J33">
        <v>32</v>
      </c>
      <c r="K33" t="s">
        <v>23</v>
      </c>
      <c r="L33" t="s">
        <v>34</v>
      </c>
    </row>
    <row r="34" spans="1:12" x14ac:dyDescent="0.35">
      <c r="A34" t="s">
        <v>94</v>
      </c>
      <c r="B34" t="s">
        <v>95</v>
      </c>
      <c r="C34" t="s">
        <v>14</v>
      </c>
      <c r="D34" t="s">
        <v>15</v>
      </c>
      <c r="E34" t="s">
        <v>16</v>
      </c>
      <c r="F34" s="1">
        <v>45714</v>
      </c>
      <c r="G34" s="1">
        <v>44245</v>
      </c>
      <c r="H34">
        <v>1690</v>
      </c>
      <c r="I34">
        <v>6</v>
      </c>
      <c r="J34">
        <v>36.5</v>
      </c>
      <c r="K34" t="s">
        <v>17</v>
      </c>
      <c r="L34" t="s">
        <v>18</v>
      </c>
    </row>
    <row r="35" spans="1:12" x14ac:dyDescent="0.35">
      <c r="A35" t="s">
        <v>96</v>
      </c>
      <c r="B35" t="s">
        <v>97</v>
      </c>
      <c r="C35" t="s">
        <v>21</v>
      </c>
      <c r="D35" t="s">
        <v>15</v>
      </c>
      <c r="E35" t="s">
        <v>22</v>
      </c>
      <c r="F35" s="1">
        <v>45727</v>
      </c>
      <c r="G35" s="1">
        <v>44986</v>
      </c>
      <c r="H35">
        <v>188.5</v>
      </c>
      <c r="I35">
        <v>8</v>
      </c>
      <c r="J35">
        <v>27</v>
      </c>
      <c r="K35" t="s">
        <v>37</v>
      </c>
      <c r="L35" t="s">
        <v>24</v>
      </c>
    </row>
    <row r="36" spans="1:12" x14ac:dyDescent="0.35">
      <c r="A36" t="s">
        <v>98</v>
      </c>
      <c r="B36" t="s">
        <v>99</v>
      </c>
      <c r="C36" t="s">
        <v>27</v>
      </c>
      <c r="D36" t="s">
        <v>15</v>
      </c>
      <c r="E36" t="s">
        <v>28</v>
      </c>
      <c r="F36" s="1">
        <v>45695</v>
      </c>
      <c r="G36" s="1">
        <v>44099</v>
      </c>
      <c r="H36">
        <v>810</v>
      </c>
      <c r="I36">
        <v>3</v>
      </c>
      <c r="J36">
        <v>29.5</v>
      </c>
      <c r="K36" t="s">
        <v>37</v>
      </c>
      <c r="L36" t="s">
        <v>29</v>
      </c>
    </row>
    <row r="37" spans="1:12" x14ac:dyDescent="0.35">
      <c r="A37" t="s">
        <v>100</v>
      </c>
      <c r="B37" t="s">
        <v>101</v>
      </c>
      <c r="C37" t="s">
        <v>32</v>
      </c>
      <c r="D37" t="s">
        <v>33</v>
      </c>
      <c r="E37" t="s">
        <v>16</v>
      </c>
      <c r="F37" s="1">
        <v>45735</v>
      </c>
      <c r="G37" s="1">
        <v>44661</v>
      </c>
      <c r="H37">
        <v>1980</v>
      </c>
      <c r="I37">
        <v>7</v>
      </c>
      <c r="J37">
        <v>39.5</v>
      </c>
      <c r="K37" t="s">
        <v>17</v>
      </c>
      <c r="L37" t="s">
        <v>41</v>
      </c>
    </row>
    <row r="38" spans="1:12" x14ac:dyDescent="0.35">
      <c r="A38" t="s">
        <v>102</v>
      </c>
      <c r="B38" t="s">
        <v>103</v>
      </c>
      <c r="C38" t="s">
        <v>14</v>
      </c>
      <c r="D38" t="s">
        <v>15</v>
      </c>
      <c r="E38" t="s">
        <v>22</v>
      </c>
      <c r="F38" s="1">
        <v>45709</v>
      </c>
      <c r="G38" s="1">
        <v>45051</v>
      </c>
      <c r="H38">
        <v>215.25</v>
      </c>
      <c r="I38">
        <v>10</v>
      </c>
      <c r="J38">
        <v>28.5</v>
      </c>
      <c r="K38" t="s">
        <v>37</v>
      </c>
      <c r="L38" t="s">
        <v>34</v>
      </c>
    </row>
    <row r="39" spans="1:12" x14ac:dyDescent="0.35">
      <c r="A39" t="s">
        <v>104</v>
      </c>
      <c r="B39" t="s">
        <v>105</v>
      </c>
      <c r="C39" t="s">
        <v>21</v>
      </c>
      <c r="D39" t="s">
        <v>15</v>
      </c>
      <c r="E39" t="s">
        <v>28</v>
      </c>
      <c r="F39" s="1">
        <v>45722</v>
      </c>
      <c r="G39" s="1">
        <v>44438</v>
      </c>
      <c r="H39">
        <v>970.5</v>
      </c>
      <c r="I39">
        <v>4</v>
      </c>
      <c r="J39">
        <v>31.5</v>
      </c>
      <c r="K39" t="s">
        <v>23</v>
      </c>
      <c r="L39" t="s">
        <v>18</v>
      </c>
    </row>
    <row r="40" spans="1:12" x14ac:dyDescent="0.35">
      <c r="A40" t="s">
        <v>106</v>
      </c>
      <c r="B40" t="s">
        <v>107</v>
      </c>
      <c r="C40" t="s">
        <v>27</v>
      </c>
      <c r="D40" t="s">
        <v>15</v>
      </c>
      <c r="E40" t="s">
        <v>16</v>
      </c>
      <c r="F40" s="1">
        <v>45705</v>
      </c>
      <c r="G40" s="1">
        <v>44907</v>
      </c>
      <c r="H40">
        <v>1740</v>
      </c>
      <c r="I40">
        <v>6</v>
      </c>
      <c r="J40">
        <v>37</v>
      </c>
      <c r="K40" t="s">
        <v>17</v>
      </c>
      <c r="L40" t="s">
        <v>24</v>
      </c>
    </row>
    <row r="41" spans="1:12" x14ac:dyDescent="0.35">
      <c r="A41" t="s">
        <v>108</v>
      </c>
      <c r="B41" t="s">
        <v>109</v>
      </c>
      <c r="C41" t="s">
        <v>32</v>
      </c>
      <c r="D41" t="s">
        <v>33</v>
      </c>
      <c r="E41" t="s">
        <v>22</v>
      </c>
      <c r="F41" s="1">
        <v>45737</v>
      </c>
      <c r="G41" s="1">
        <v>45217</v>
      </c>
      <c r="H41">
        <v>225</v>
      </c>
      <c r="I41">
        <v>11</v>
      </c>
      <c r="J41">
        <v>27.5</v>
      </c>
      <c r="K41" t="s">
        <v>37</v>
      </c>
      <c r="L41" t="s">
        <v>29</v>
      </c>
    </row>
    <row r="42" spans="1:12" x14ac:dyDescent="0.35">
      <c r="A42" t="s">
        <v>110</v>
      </c>
      <c r="B42" t="s">
        <v>111</v>
      </c>
      <c r="C42" t="s">
        <v>14</v>
      </c>
      <c r="D42" t="s">
        <v>15</v>
      </c>
      <c r="E42" t="s">
        <v>28</v>
      </c>
      <c r="F42" s="1">
        <v>45697</v>
      </c>
      <c r="G42" s="1">
        <v>44145</v>
      </c>
      <c r="H42">
        <v>850.75</v>
      </c>
      <c r="I42">
        <v>3</v>
      </c>
      <c r="J42">
        <v>30.5</v>
      </c>
      <c r="K42" t="s">
        <v>23</v>
      </c>
      <c r="L42" t="s">
        <v>41</v>
      </c>
    </row>
    <row r="43" spans="1:12" x14ac:dyDescent="0.35">
      <c r="A43" t="s">
        <v>112</v>
      </c>
      <c r="B43" t="s">
        <v>113</v>
      </c>
      <c r="C43" t="s">
        <v>21</v>
      </c>
      <c r="D43" t="s">
        <v>15</v>
      </c>
      <c r="E43" t="s">
        <v>16</v>
      </c>
      <c r="F43" s="1">
        <v>45731</v>
      </c>
      <c r="G43" s="1">
        <v>44369</v>
      </c>
      <c r="H43">
        <v>2080</v>
      </c>
      <c r="I43">
        <v>8</v>
      </c>
      <c r="J43">
        <v>40</v>
      </c>
      <c r="K43" t="s">
        <v>17</v>
      </c>
      <c r="L43" t="s">
        <v>34</v>
      </c>
    </row>
    <row r="44" spans="1:12" x14ac:dyDescent="0.35">
      <c r="A44" t="s">
        <v>114</v>
      </c>
      <c r="B44" t="s">
        <v>115</v>
      </c>
      <c r="C44" t="s">
        <v>27</v>
      </c>
      <c r="D44" t="s">
        <v>15</v>
      </c>
      <c r="E44" t="s">
        <v>22</v>
      </c>
      <c r="F44" s="1">
        <v>45712</v>
      </c>
      <c r="G44" s="1">
        <v>44956</v>
      </c>
      <c r="H44">
        <v>190.25</v>
      </c>
      <c r="I44">
        <v>9</v>
      </c>
      <c r="J44">
        <v>26</v>
      </c>
      <c r="K44" t="s">
        <v>37</v>
      </c>
      <c r="L44" t="s">
        <v>18</v>
      </c>
    </row>
    <row r="45" spans="1:12" x14ac:dyDescent="0.35">
      <c r="A45" t="s">
        <v>116</v>
      </c>
      <c r="B45" t="s">
        <v>117</v>
      </c>
      <c r="C45" t="s">
        <v>32</v>
      </c>
      <c r="D45" t="s">
        <v>33</v>
      </c>
      <c r="E45" t="s">
        <v>28</v>
      </c>
      <c r="F45" s="1">
        <v>45724</v>
      </c>
      <c r="G45" s="1">
        <v>44635</v>
      </c>
      <c r="H45">
        <v>920</v>
      </c>
      <c r="I45">
        <v>4</v>
      </c>
      <c r="J45">
        <v>31</v>
      </c>
      <c r="K45" t="s">
        <v>23</v>
      </c>
      <c r="L45" t="s">
        <v>24</v>
      </c>
    </row>
    <row r="46" spans="1:12" x14ac:dyDescent="0.35">
      <c r="A46" t="s">
        <v>118</v>
      </c>
      <c r="B46" t="s">
        <v>119</v>
      </c>
      <c r="C46" t="s">
        <v>14</v>
      </c>
      <c r="D46" t="s">
        <v>15</v>
      </c>
      <c r="E46" t="s">
        <v>16</v>
      </c>
      <c r="F46" s="1">
        <v>45701</v>
      </c>
      <c r="G46" s="1">
        <v>44474</v>
      </c>
      <c r="H46">
        <v>1620</v>
      </c>
      <c r="I46">
        <v>5</v>
      </c>
      <c r="J46">
        <v>35</v>
      </c>
      <c r="K46" t="s">
        <v>23</v>
      </c>
      <c r="L46" t="s">
        <v>29</v>
      </c>
    </row>
    <row r="47" spans="1:12" x14ac:dyDescent="0.35">
      <c r="A47" t="s">
        <v>120</v>
      </c>
      <c r="B47" t="s">
        <v>121</v>
      </c>
      <c r="C47" t="s">
        <v>21</v>
      </c>
      <c r="D47" t="s">
        <v>15</v>
      </c>
      <c r="E47" t="s">
        <v>22</v>
      </c>
      <c r="F47" s="1">
        <v>45734</v>
      </c>
      <c r="G47" s="1">
        <v>45132</v>
      </c>
      <c r="H47">
        <v>240</v>
      </c>
      <c r="I47">
        <v>10</v>
      </c>
      <c r="J47">
        <v>28</v>
      </c>
      <c r="K47" t="s">
        <v>37</v>
      </c>
      <c r="L47" t="s">
        <v>41</v>
      </c>
    </row>
    <row r="48" spans="1:12" x14ac:dyDescent="0.35">
      <c r="A48" t="s">
        <v>122</v>
      </c>
      <c r="B48" t="s">
        <v>123</v>
      </c>
      <c r="C48" t="s">
        <v>27</v>
      </c>
      <c r="D48" t="s">
        <v>15</v>
      </c>
      <c r="E48" t="s">
        <v>28</v>
      </c>
      <c r="F48" s="1">
        <v>45691</v>
      </c>
      <c r="G48" s="1">
        <v>44063</v>
      </c>
      <c r="H48">
        <v>790.5</v>
      </c>
      <c r="I48">
        <v>2</v>
      </c>
      <c r="J48">
        <v>29</v>
      </c>
      <c r="K48" t="s">
        <v>37</v>
      </c>
      <c r="L48" t="s">
        <v>34</v>
      </c>
    </row>
    <row r="49" spans="1:12" x14ac:dyDescent="0.35">
      <c r="A49" t="s">
        <v>124</v>
      </c>
      <c r="B49" t="s">
        <v>125</v>
      </c>
      <c r="C49" t="s">
        <v>32</v>
      </c>
      <c r="D49" t="s">
        <v>33</v>
      </c>
      <c r="E49" t="s">
        <v>16</v>
      </c>
      <c r="F49" s="1">
        <v>45726</v>
      </c>
      <c r="G49" s="1">
        <v>44812</v>
      </c>
      <c r="H49">
        <v>1910</v>
      </c>
      <c r="I49">
        <v>7</v>
      </c>
      <c r="J49">
        <v>38.5</v>
      </c>
      <c r="K49" t="s">
        <v>17</v>
      </c>
      <c r="L49" t="s">
        <v>18</v>
      </c>
    </row>
    <row r="50" spans="1:12" x14ac:dyDescent="0.35">
      <c r="A50" t="s">
        <v>126</v>
      </c>
      <c r="B50" t="s">
        <v>127</v>
      </c>
      <c r="C50" t="s">
        <v>14</v>
      </c>
      <c r="D50" t="s">
        <v>15</v>
      </c>
      <c r="E50" t="s">
        <v>22</v>
      </c>
      <c r="F50" t="s">
        <v>128</v>
      </c>
      <c r="G50" s="1">
        <v>45026</v>
      </c>
      <c r="H50">
        <v>205.75</v>
      </c>
      <c r="I50">
        <v>9</v>
      </c>
      <c r="J50">
        <v>27.5</v>
      </c>
      <c r="K50" t="s">
        <v>37</v>
      </c>
      <c r="L50" t="s">
        <v>24</v>
      </c>
    </row>
    <row r="51" spans="1:12" x14ac:dyDescent="0.35">
      <c r="A51" t="s">
        <v>129</v>
      </c>
      <c r="B51" t="s">
        <v>130</v>
      </c>
      <c r="C51" t="s">
        <v>21</v>
      </c>
      <c r="D51" t="s">
        <v>15</v>
      </c>
      <c r="E51" t="s">
        <v>16</v>
      </c>
      <c r="F51" s="1">
        <v>45728</v>
      </c>
      <c r="G51" s="1">
        <v>44330</v>
      </c>
      <c r="H51">
        <v>2250</v>
      </c>
      <c r="I51">
        <v>9</v>
      </c>
      <c r="J51">
        <v>42.5</v>
      </c>
      <c r="K51" t="s">
        <v>17</v>
      </c>
      <c r="L51"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9D017-D7F4-477F-B9FB-3B9328E62BA2}">
  <dimension ref="L3:P3"/>
  <sheetViews>
    <sheetView showGridLines="0" tabSelected="1" topLeftCell="A3" zoomScale="74" zoomScaleNormal="74" workbookViewId="0">
      <selection activeCell="AC14" sqref="AC14"/>
    </sheetView>
  </sheetViews>
  <sheetFormatPr defaultRowHeight="14.5" x14ac:dyDescent="0.35"/>
  <sheetData>
    <row r="3" spans="12:16" ht="26" x14ac:dyDescent="0.6">
      <c r="L3" s="5"/>
      <c r="M3" s="5"/>
      <c r="N3" s="5"/>
      <c r="O3" s="5"/>
      <c r="P3" s="5"/>
    </row>
  </sheetData>
  <mergeCells count="1">
    <mergeCell ref="L3:P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FA381-A7A5-4179-85EA-03B586128FAC}">
  <dimension ref="A2:E8"/>
  <sheetViews>
    <sheetView workbookViewId="0">
      <selection activeCell="G20" sqref="G20"/>
    </sheetView>
  </sheetViews>
  <sheetFormatPr defaultRowHeight="14.5" x14ac:dyDescent="0.35"/>
  <cols>
    <col min="1" max="1" width="18.7265625" bestFit="1" customWidth="1"/>
    <col min="2" max="2" width="15.26953125" bestFit="1" customWidth="1"/>
    <col min="3" max="3" width="8.6328125" bestFit="1" customWidth="1"/>
    <col min="4" max="4" width="13.1796875" bestFit="1" customWidth="1"/>
    <col min="5" max="5" width="10.7265625" bestFit="1" customWidth="1"/>
    <col min="6" max="6" width="15" bestFit="1" customWidth="1"/>
    <col min="7" max="7" width="4.1796875" bestFit="1" customWidth="1"/>
    <col min="8" max="8" width="10.7265625" bestFit="1" customWidth="1"/>
  </cols>
  <sheetData>
    <row r="2" spans="1:5" x14ac:dyDescent="0.35">
      <c r="A2" s="2" t="s">
        <v>1</v>
      </c>
      <c r="B2" t="s" vm="3">
        <v>134</v>
      </c>
    </row>
    <row r="4" spans="1:5" x14ac:dyDescent="0.35">
      <c r="A4" s="2" t="s">
        <v>131</v>
      </c>
      <c r="B4" s="2" t="s">
        <v>137</v>
      </c>
    </row>
    <row r="5" spans="1:5" x14ac:dyDescent="0.35">
      <c r="A5" s="2" t="s">
        <v>132</v>
      </c>
      <c r="B5" t="s">
        <v>16</v>
      </c>
      <c r="C5" t="s">
        <v>28</v>
      </c>
      <c r="D5" t="s">
        <v>22</v>
      </c>
      <c r="E5" t="s">
        <v>133</v>
      </c>
    </row>
    <row r="6" spans="1:5" x14ac:dyDescent="0.35">
      <c r="A6" s="3" t="s">
        <v>33</v>
      </c>
      <c r="B6">
        <v>8040</v>
      </c>
      <c r="C6">
        <v>3591</v>
      </c>
      <c r="D6">
        <v>1086.25</v>
      </c>
      <c r="E6">
        <v>12717.25</v>
      </c>
    </row>
    <row r="7" spans="1:5" x14ac:dyDescent="0.35">
      <c r="A7" s="3" t="s">
        <v>15</v>
      </c>
      <c r="B7">
        <v>24840</v>
      </c>
      <c r="C7">
        <v>9798</v>
      </c>
      <c r="D7">
        <v>2616.5</v>
      </c>
      <c r="E7">
        <v>37254.5</v>
      </c>
    </row>
    <row r="8" spans="1:5" x14ac:dyDescent="0.35">
      <c r="A8" s="3" t="s">
        <v>133</v>
      </c>
      <c r="B8">
        <v>32880</v>
      </c>
      <c r="C8">
        <v>13389</v>
      </c>
      <c r="D8">
        <v>3702.75</v>
      </c>
      <c r="E8">
        <v>49971.75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5F25B-17E3-4BFA-AAC4-E811868372A7}">
  <dimension ref="A1:B8"/>
  <sheetViews>
    <sheetView workbookViewId="0"/>
  </sheetViews>
  <sheetFormatPr defaultRowHeight="14.5" x14ac:dyDescent="0.35"/>
  <cols>
    <col min="1" max="1" width="12.54296875" bestFit="1" customWidth="1"/>
    <col min="2" max="2" width="18.7265625" bestFit="1" customWidth="1"/>
  </cols>
  <sheetData>
    <row r="1" spans="1:2" x14ac:dyDescent="0.35">
      <c r="A1" s="2" t="s">
        <v>132</v>
      </c>
      <c r="B1" t="s">
        <v>131</v>
      </c>
    </row>
    <row r="2" spans="1:2" x14ac:dyDescent="0.35">
      <c r="A2" s="3" t="s">
        <v>38</v>
      </c>
      <c r="B2" s="4">
        <v>150.25</v>
      </c>
    </row>
    <row r="3" spans="1:2" x14ac:dyDescent="0.35">
      <c r="A3" s="3" t="s">
        <v>41</v>
      </c>
      <c r="B3" s="4">
        <v>6012</v>
      </c>
    </row>
    <row r="4" spans="1:2" x14ac:dyDescent="0.35">
      <c r="A4" s="3" t="s">
        <v>18</v>
      </c>
      <c r="B4" s="4">
        <v>10936.5</v>
      </c>
    </row>
    <row r="5" spans="1:2" x14ac:dyDescent="0.35">
      <c r="A5" s="3" t="s">
        <v>24</v>
      </c>
      <c r="B5" s="4">
        <v>10140.25</v>
      </c>
    </row>
    <row r="6" spans="1:2" x14ac:dyDescent="0.35">
      <c r="A6" s="3" t="s">
        <v>29</v>
      </c>
      <c r="B6" s="4">
        <v>13220.75</v>
      </c>
    </row>
    <row r="7" spans="1:2" x14ac:dyDescent="0.35">
      <c r="A7" s="3" t="s">
        <v>34</v>
      </c>
      <c r="B7" s="4">
        <v>9512</v>
      </c>
    </row>
    <row r="8" spans="1:2" x14ac:dyDescent="0.35">
      <c r="A8" s="3" t="s">
        <v>133</v>
      </c>
      <c r="B8" s="4">
        <v>49971.75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C46DE-183E-44D4-BAFE-F6EA8F0E323C}">
  <dimension ref="A1:B7"/>
  <sheetViews>
    <sheetView workbookViewId="0">
      <selection activeCell="M4" sqref="M4"/>
    </sheetView>
  </sheetViews>
  <sheetFormatPr defaultRowHeight="14.5" x14ac:dyDescent="0.35"/>
  <cols>
    <col min="1" max="1" width="12.36328125" bestFit="1" customWidth="1"/>
    <col min="2" max="2" width="18.7265625" bestFit="1" customWidth="1"/>
  </cols>
  <sheetData>
    <row r="1" spans="1:2" x14ac:dyDescent="0.35">
      <c r="A1" s="2" t="s">
        <v>2</v>
      </c>
      <c r="B1" t="s" vm="1">
        <v>134</v>
      </c>
    </row>
    <row r="3" spans="1:2" x14ac:dyDescent="0.35">
      <c r="A3" s="2" t="s">
        <v>132</v>
      </c>
      <c r="B3" t="s">
        <v>131</v>
      </c>
    </row>
    <row r="4" spans="1:2" x14ac:dyDescent="0.35">
      <c r="A4" s="3" t="s">
        <v>37</v>
      </c>
      <c r="B4">
        <v>6497.75</v>
      </c>
    </row>
    <row r="5" spans="1:2" x14ac:dyDescent="0.35">
      <c r="A5" s="3" t="s">
        <v>17</v>
      </c>
      <c r="B5">
        <v>28750</v>
      </c>
    </row>
    <row r="6" spans="1:2" x14ac:dyDescent="0.35">
      <c r="A6" s="3" t="s">
        <v>23</v>
      </c>
      <c r="B6">
        <v>14724</v>
      </c>
    </row>
    <row r="7" spans="1:2" x14ac:dyDescent="0.35">
      <c r="A7" s="3" t="s">
        <v>133</v>
      </c>
      <c r="B7">
        <v>49971.75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C91B0-F58A-45D9-81D9-8B5225072A91}">
  <dimension ref="A1:B7"/>
  <sheetViews>
    <sheetView workbookViewId="0">
      <selection activeCell="G18" sqref="G18"/>
    </sheetView>
  </sheetViews>
  <sheetFormatPr defaultRowHeight="14.5" x14ac:dyDescent="0.35"/>
  <cols>
    <col min="1" max="1" width="13.1796875" bestFit="1" customWidth="1"/>
    <col min="2" max="2" width="20" bestFit="1" customWidth="1"/>
  </cols>
  <sheetData>
    <row r="1" spans="1:2" x14ac:dyDescent="0.35">
      <c r="A1" s="2" t="s">
        <v>3</v>
      </c>
      <c r="B1" t="s" vm="2">
        <v>134</v>
      </c>
    </row>
    <row r="3" spans="1:2" x14ac:dyDescent="0.35">
      <c r="A3" s="2" t="s">
        <v>132</v>
      </c>
      <c r="B3" t="s">
        <v>135</v>
      </c>
    </row>
    <row r="4" spans="1:2" x14ac:dyDescent="0.35">
      <c r="A4" s="3" t="s">
        <v>16</v>
      </c>
      <c r="B4">
        <v>121</v>
      </c>
    </row>
    <row r="5" spans="1:2" x14ac:dyDescent="0.35">
      <c r="A5" s="3" t="s">
        <v>28</v>
      </c>
      <c r="B5">
        <v>49</v>
      </c>
    </row>
    <row r="6" spans="1:2" x14ac:dyDescent="0.35">
      <c r="A6" s="3" t="s">
        <v>22</v>
      </c>
      <c r="B6">
        <v>165</v>
      </c>
    </row>
    <row r="7" spans="1:2" x14ac:dyDescent="0.35">
      <c r="A7" s="3" t="s">
        <v>133</v>
      </c>
      <c r="B7">
        <v>335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73F7B-62A8-4202-8110-C6A3A3F77824}">
  <dimension ref="A1:B8"/>
  <sheetViews>
    <sheetView workbookViewId="0">
      <selection activeCell="G20" sqref="G20"/>
    </sheetView>
  </sheetViews>
  <sheetFormatPr defaultRowHeight="14.5" x14ac:dyDescent="0.35"/>
  <cols>
    <col min="1" max="1" width="12.54296875" bestFit="1" customWidth="1"/>
    <col min="2" max="2" width="20.26953125" bestFit="1" customWidth="1"/>
  </cols>
  <sheetData>
    <row r="1" spans="1:2" x14ac:dyDescent="0.35">
      <c r="A1" s="2" t="s">
        <v>132</v>
      </c>
      <c r="B1" t="s">
        <v>136</v>
      </c>
    </row>
    <row r="2" spans="1:2" x14ac:dyDescent="0.35">
      <c r="A2" s="3" t="s">
        <v>38</v>
      </c>
      <c r="B2">
        <v>28</v>
      </c>
    </row>
    <row r="3" spans="1:2" x14ac:dyDescent="0.35">
      <c r="A3" s="3" t="s">
        <v>41</v>
      </c>
      <c r="B3">
        <v>269.5</v>
      </c>
    </row>
    <row r="4" spans="1:2" x14ac:dyDescent="0.35">
      <c r="A4" s="3" t="s">
        <v>34</v>
      </c>
      <c r="B4">
        <v>320.5</v>
      </c>
    </row>
    <row r="5" spans="1:2" x14ac:dyDescent="0.35">
      <c r="A5" s="3" t="s">
        <v>24</v>
      </c>
      <c r="B5">
        <v>331</v>
      </c>
    </row>
    <row r="6" spans="1:2" x14ac:dyDescent="0.35">
      <c r="A6" s="3" t="s">
        <v>18</v>
      </c>
      <c r="B6">
        <v>336.5</v>
      </c>
    </row>
    <row r="7" spans="1:2" x14ac:dyDescent="0.35">
      <c r="A7" s="3" t="s">
        <v>29</v>
      </c>
      <c r="B7">
        <v>344.5</v>
      </c>
    </row>
    <row r="8" spans="1:2" x14ac:dyDescent="0.35">
      <c r="A8" s="3" t="s">
        <v>133</v>
      </c>
      <c r="B8">
        <v>1630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V&amp;T DATA</vt:lpstr>
      <vt:lpstr>V&amp;T DASHBOARD</vt:lpstr>
      <vt:lpstr>Sales Vs Region Vs Category</vt:lpstr>
      <vt:lpstr>Sales Per Representative</vt:lpstr>
      <vt:lpstr>Sales Vs Tier Vs Region</vt:lpstr>
      <vt:lpstr>Orders Per Country</vt:lpstr>
      <vt:lpstr>Profit per Representative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kairu</dc:creator>
  <cp:lastModifiedBy>david kairu</cp:lastModifiedBy>
  <dcterms:created xsi:type="dcterms:W3CDTF">2025-12-27T08:43:47Z</dcterms:created>
  <dcterms:modified xsi:type="dcterms:W3CDTF">2026-06-18T08:15:39Z</dcterms:modified>
</cp:coreProperties>
</file>